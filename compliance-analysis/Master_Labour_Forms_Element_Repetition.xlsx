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577f9bfc2f16362/Desktop/Compliance burden-project/Data Gathering/Why Retail/API-X-Road/New/"/>
    </mc:Choice>
  </mc:AlternateContent>
  <xr:revisionPtr revIDLastSave="23" documentId="13_ncr:1_{BA6AFCEB-7ABA-40ED-AB08-F49A83D47828}" xr6:coauthVersionLast="47" xr6:coauthVersionMax="47" xr10:uidLastSave="{4CD92AD8-8B7A-424E-8578-4B361B675A13}"/>
  <bookViews>
    <workbookView xWindow="-110" yWindow="-110" windowWidth="19420" windowHeight="11500" tabRatio="565" activeTab="2" xr2:uid="{00000000-000D-0000-FFFF-FFFF00000000}"/>
  </bookViews>
  <sheets>
    <sheet name="README" sheetId="1" r:id="rId1"/>
    <sheet name="Master_Forms_List" sheetId="2" r:id="rId2"/>
    <sheet name="Element_Repetition" sheetId="3" r:id="rId3"/>
    <sheet name="Frequency_Weighted" sheetId="4" r:id="rId4"/>
  </sheets>
  <definedNames>
    <definedName name="_xlnm._FilterDatabase" localSheetId="2" hidden="1">Element_Repetition!$A$1:$L$121</definedName>
    <definedName name="_xlnm._FilterDatabase" localSheetId="1" hidden="1">Master_Forms_List!$A$1:$E$90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2" i="3" l="1"/>
  <c r="B123" i="3"/>
  <c r="D123" i="3"/>
  <c r="D124" i="3" s="1"/>
  <c r="C123" i="3"/>
  <c r="K122" i="3"/>
  <c r="J122" i="3"/>
  <c r="I122" i="3"/>
  <c r="H122" i="3"/>
  <c r="G122" i="3"/>
  <c r="F122" i="3"/>
  <c r="E122" i="3"/>
  <c r="D122" i="3"/>
  <c r="L17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B22" i="1"/>
  <c r="B21" i="1"/>
  <c r="B20" i="1"/>
  <c r="B19" i="1"/>
  <c r="B18" i="1"/>
  <c r="B17" i="1"/>
</calcChain>
</file>

<file path=xl/sharedStrings.xml><?xml version="1.0" encoding="utf-8"?>
<sst xmlns="http://schemas.openxmlformats.org/spreadsheetml/2006/main" count="1078" uniqueCount="466">
  <si>
    <t>MASTER FORMS LIST &amp; DATA-ELEMENT REPETITION - ALL LABOUR CODE RULES/SCHEME INSTRUMENTS IN ONE (audit pass 1 applied)</t>
  </si>
  <si>
    <t>Instruments consolidated (all read in full text this project, V-HIGH):</t>
  </si>
  <si>
    <t xml:space="preserve">  SS (Central) Rules 2026 [G.S.R. 344(E)] - 31 forms | OSH (Central) Rules 2026 [G.S.R. 345(E)] - 27 forms |</t>
  </si>
  <si>
    <t xml:space="preserve">  IR (Central) Rules 2026 [G.S.R. 342(E)] - 15 forms | EPF Scheme 2026 [G.S.R. 525(E)] - 12 forms (9 field-mapped; I/III/IV pending)</t>
  </si>
  <si>
    <t>KNOWN GAP: Code on Wages (Central) Rules 2026 [G.S.R. 343(E)] - gazette not yet obtained; registers/wage-slip family expected;</t>
  </si>
  <si>
    <t xml:space="preserve">  a Wage-Rules column is reserved in spirit and will be added on extraction. ESI monthly (MC) is a portal format, not a rules form,</t>
  </si>
  <si>
    <t xml:space="preserve">  and is therefore excluded here (it lives in the dictionary's L4).</t>
  </si>
  <si>
    <t>COUNTING METHOD (read before quoting numbers):</t>
  </si>
  <si>
    <t>Element repetition = number of DISTINCT FILINGS asking that element, summed across instruments. Procedural clusters in the</t>
  </si>
  <si>
    <t>source matrices (e.g., 11 SS appeal forms) count as ONE filing. Counts are FORM-count, not FREQUENCY-WEIGHTED: a monthly</t>
  </si>
  <si>
    <t>form counts once here. Frequency weighting (form-count x cadence per year) is the next artifact (master matrix Step 2).</t>
  </si>
  <si>
    <t>Element codes are the shared vocabulary deliberately used across all four source workbooks; six identifiers new to the EPF</t>
  </si>
  <si>
    <t>Scheme (EPF_CODE, CIN, TAN, GST_NO, CONTRACT_COMMERCIALS, PAYMENT_REFS) were added to the registry.</t>
  </si>
  <si>
    <t>SUMMARY (computed)</t>
  </si>
  <si>
    <t>Forms in master list</t>
  </si>
  <si>
    <t>Distinct data elements</t>
  </si>
  <si>
    <t>Elements asked in 10+ filings</t>
  </si>
  <si>
    <t>Elements asked in 4-9 filings</t>
  </si>
  <si>
    <t>Elements asked 2-3 times</t>
  </si>
  <si>
    <t>Elements asked exactly once</t>
  </si>
  <si>
    <t>Form (as tagged)</t>
  </si>
  <si>
    <t>Instrument (code rule / scheme)</t>
  </si>
  <si>
    <t>Title</t>
  </si>
  <si>
    <t>Instrument type</t>
  </si>
  <si>
    <t>Recurrence</t>
  </si>
  <si>
    <t>Form-I</t>
  </si>
  <si>
    <t>SS Rules 2026 [G.S.R. 344(E)]</t>
  </si>
  <si>
    <t>Appeal under section 23 of the Code</t>
  </si>
  <si>
    <t>Appeal</t>
  </si>
  <si>
    <t>EXCEPTIONAL</t>
  </si>
  <si>
    <t>Form-II</t>
  </si>
  <si>
    <t>Receipt Slip</t>
  </si>
  <si>
    <t>Acknowledgment</t>
  </si>
  <si>
    <t>Form-III</t>
  </si>
  <si>
    <t>Nomination / Fresh Nomination / Modification of Nomination (Ch.V gratuity)</t>
  </si>
  <si>
    <t>Declaration</t>
  </si>
  <si>
    <t>ONE-TIME</t>
  </si>
  <si>
    <t>Form-IV</t>
  </si>
  <si>
    <t>Application for gratuity by an Employee/nominee/legal heir</t>
  </si>
  <si>
    <t>Application</t>
  </si>
  <si>
    <t>EVENT-RECURRING</t>
  </si>
  <si>
    <t>Form-V</t>
  </si>
  <si>
    <t>Notice for payment / rejecting claim of gratuity</t>
  </si>
  <si>
    <t>Notice</t>
  </si>
  <si>
    <t>Form-VI</t>
  </si>
  <si>
    <t>Application for Direction (Competent Authority, Ch.V)</t>
  </si>
  <si>
    <t>Form-VII</t>
  </si>
  <si>
    <t>Notice for Appearance / Summon</t>
  </si>
  <si>
    <t>Form-VIII</t>
  </si>
  <si>
    <t>Notice for payment of gratuity as determined by Competent/Appellate Authority</t>
  </si>
  <si>
    <t>Form-IX</t>
  </si>
  <si>
    <t>Application for Recovery of Gratuity</t>
  </si>
  <si>
    <t>Form-X</t>
  </si>
  <si>
    <t>Certificate of Medical Officer/Practitioner (confinement/miscarriage/MTP/tubectomy/delivery)</t>
  </si>
  <si>
    <t>Certificate</t>
  </si>
  <si>
    <t>Form-XI</t>
  </si>
  <si>
    <t>Notice of claim for maternity benefit and payment thereof (ss.62-63); Part I Notice, Part II</t>
  </si>
  <si>
    <t>Claim notice</t>
  </si>
  <si>
    <t>Form-XII</t>
  </si>
  <si>
    <t>Form of Receipt of Maternity Benefit</t>
  </si>
  <si>
    <t>Receipt</t>
  </si>
  <si>
    <t>Form-XIII-A</t>
  </si>
  <si>
    <t>Complaint to the Inspector-cum-Facilitator</t>
  </si>
  <si>
    <t>Complaint</t>
  </si>
  <si>
    <t>Form-XIII-B</t>
  </si>
  <si>
    <t>Form-XIV</t>
  </si>
  <si>
    <t>Abstract of the Maternity Benefit provisions and rules</t>
  </si>
  <si>
    <t>Display abstract</t>
  </si>
  <si>
    <t>CONTINUOUS</t>
  </si>
  <si>
    <t>Form-XV</t>
  </si>
  <si>
    <t>Information for commencement or modification of building or other construction work</t>
  </si>
  <si>
    <t>Intimation</t>
  </si>
  <si>
    <t>Form-XVI</t>
  </si>
  <si>
    <t>Self-assessment of Cess for building or other construction work</t>
  </si>
  <si>
    <t>Self-assessment</t>
  </si>
  <si>
    <t>Form-XVII</t>
  </si>
  <si>
    <t>Notice for stoppage or reduction of Building or Other Construction Work</t>
  </si>
  <si>
    <t>Form-XVIII</t>
  </si>
  <si>
    <t>Return on completion of building or other construction work</t>
  </si>
  <si>
    <t>Return</t>
  </si>
  <si>
    <t>Form-XIX</t>
  </si>
  <si>
    <t>Appeal against Order of assessment or Order imposing penalty</t>
  </si>
  <si>
    <t>Form-XX</t>
  </si>
  <si>
    <t>Self-assessment of contribution by aggregators of gig/platform workers</t>
  </si>
  <si>
    <t>CALENDAR-RECURRING</t>
  </si>
  <si>
    <t>Form-XXI</t>
  </si>
  <si>
    <t>Return by Aggregators of gig/platform workers</t>
  </si>
  <si>
    <t>Form-XXII</t>
  </si>
  <si>
    <t>Register of Women Employees</t>
  </si>
  <si>
    <t>Register</t>
  </si>
  <si>
    <t>Form-XXIII</t>
  </si>
  <si>
    <t>ANNUAL RETURN - single annual integrated return under all four Codes</t>
  </si>
  <si>
    <t>Form-XXIV</t>
  </si>
  <si>
    <t>Compounding notice (Parts I-IV: notice, application, certificate)</t>
  </si>
  <si>
    <t>Notice + application</t>
  </si>
  <si>
    <t>Form-XXV</t>
  </si>
  <si>
    <t>Form for reporting vacancies to career centres (separate form per post type)</t>
  </si>
  <si>
    <t>Notification</t>
  </si>
  <si>
    <t>Form-XXVI</t>
  </si>
  <si>
    <t>Form EIR - Employment Information Return</t>
  </si>
  <si>
    <t>Form-XXVII</t>
  </si>
  <si>
    <t>Application for Compensation (Employee's Compensation)</t>
  </si>
  <si>
    <t>Form-XXVIII</t>
  </si>
  <si>
    <t>Certificate by the applicant</t>
  </si>
  <si>
    <t>Form-XXIX</t>
  </si>
  <si>
    <t>Notice in EC claim proceedings (claim under s. clauses (b)/(c))</t>
  </si>
  <si>
    <t>Form-XXX</t>
  </si>
  <si>
    <t>Notice/communication in EC proceedings</t>
  </si>
  <si>
    <t>OSH Rules 2026 [G.S.R. 345(E)]</t>
  </si>
  <si>
    <t>Application for registration of establishment / Amendment / Updation of registration particulars of establishments already registered under any other Central Labour Laws</t>
  </si>
  <si>
    <t>Registration application</t>
  </si>
  <si>
    <t>Application for cancellation of Registration Certificate of establishment</t>
  </si>
  <si>
    <t>Certificate of Registration of Establishment</t>
  </si>
  <si>
    <t>Certificate of cancellation of Registration Certificate</t>
  </si>
  <si>
    <t>Register of Establishment</t>
  </si>
  <si>
    <t>Notice of Commencement / cessation of operations</t>
  </si>
  <si>
    <t>Notice of Commencement/Re-opening/Cessation/Discontinuance/Abandonment/Closing of mines</t>
  </si>
  <si>
    <t>Health Examination (except mine employees)</t>
  </si>
  <si>
    <t>Medical record</t>
  </si>
  <si>
    <t>Report of medical examination (mine employees only)</t>
  </si>
  <si>
    <t>Certificate of medical re-examination by Appellate Medical Board</t>
  </si>
  <si>
    <t>Notice of accident or dangerous occurrence</t>
  </si>
  <si>
    <t>Event notice</t>
  </si>
  <si>
    <t>Notice of periods of work</t>
  </si>
  <si>
    <t>Notice/display</t>
  </si>
  <si>
    <t>Form-XIII</t>
  </si>
  <si>
    <t>Employee Register</t>
  </si>
  <si>
    <t>Attendance register-cum-muster roll</t>
  </si>
  <si>
    <t>Register for wages, overtime and deductions</t>
  </si>
  <si>
    <t>Wage slip</t>
  </si>
  <si>
    <t>Employee-facing slip</t>
  </si>
  <si>
    <t>ANNUAL RETURN (Part-I all establishments; Part-II mines; Part-III principal employer; Part-IV PF/ESI self-declaration)</t>
  </si>
  <si>
    <t>Half Yearly Return (Jan-Jun / Jul-Dec) by Contractor to Dy Chief Labour Commissioner (Central)</t>
  </si>
  <si>
    <t>Register of accidents and dangerous occurrences</t>
  </si>
  <si>
    <t>Register for leave with wages</t>
  </si>
  <si>
    <t>Application for Grant/Renewal/Amendment of Licence (including common/single licence)</t>
  </si>
  <si>
    <t>Licence application</t>
  </si>
  <si>
    <t>Proforma of licence</t>
  </si>
  <si>
    <t>Licence</t>
  </si>
  <si>
    <t>Experience certificate of contract labour</t>
  </si>
  <si>
    <t>Agreement between Producer and Audio-visual worker</t>
  </si>
  <si>
    <t>Agreement</t>
  </si>
  <si>
    <t>Improvement notice</t>
  </si>
  <si>
    <t>Application for composition of offence</t>
  </si>
  <si>
    <t>Notice to employer for first-time offence for composition of offences</t>
  </si>
  <si>
    <t>IR Rules 2026 [G.S.R. 342(E)]</t>
  </si>
  <si>
    <t>Memorandum of settlement arrived at in the course of conciliation proceedings or otherwise</t>
  </si>
  <si>
    <t>Settlement record</t>
  </si>
  <si>
    <t>Application to Tribunal</t>
  </si>
  <si>
    <t>Register for Certified Standing Orders (Parts I-II)</t>
  </si>
  <si>
    <t>Notice of change of service conditions</t>
  </si>
  <si>
    <t>Agreement for voluntary arbitration</t>
  </si>
  <si>
    <t>Authorisation by worker/group/employer to be represented in proceeding</t>
  </si>
  <si>
    <t>Authorisation</t>
  </si>
  <si>
    <t>Application under s.59(1) for recovery of money</t>
  </si>
  <si>
    <t>Application by authorised person/assignee/heir of deceased worker under s.59(1)</t>
  </si>
  <si>
    <t>Application to Tribunal under s.59(2) by worker</t>
  </si>
  <si>
    <t>Application under s.59(2) by assignee/heir of deceased worker</t>
  </si>
  <si>
    <t>Notice of strike by union / group of workers</t>
  </si>
  <si>
    <t>Notice of lock-out given by employer</t>
  </si>
  <si>
    <t>Notice of retrenchment/closure to Central Government (Chapter IX)</t>
  </si>
  <si>
    <t>Application for permission to lay-off / continuation / retrenchment / closure (Chapter X)</t>
  </si>
  <si>
    <t>Notice to the employer/person who committed an offence for the first time (compounding)</t>
  </si>
  <si>
    <t>EPF Scheme 2026 [G.S.R. 525(E)]</t>
  </si>
  <si>
    <t>Returns by exempted-establishment trusts (electronic monthly &amp; annual)</t>
  </si>
  <si>
    <t>Consolidated return of employees required/entitled to become members, with wages</t>
  </si>
  <si>
    <t>ONE-TIME (+Nil duty)</t>
  </si>
  <si>
    <t>Ownership Return (establishment profile auto-seeded; occupiers/directors/partners; change filings; display duty)</t>
  </si>
  <si>
    <t>Electronic Challan-cum-Return (the ECR: 14 columns, per-employee monthly)</t>
  </si>
  <si>
    <t>CALENDAR-RECURRING (monthly)</t>
  </si>
  <si>
    <t>Details of branches and departments and responsible persons</t>
  </si>
  <si>
    <t>Registration detail</t>
  </si>
  <si>
    <t>Details of authorised signatories</t>
  </si>
  <si>
    <t>Declaration of all contractors engaged, on the specified portal</t>
  </si>
  <si>
    <t>Contractor's monthly statement of recoveries from contract workers (name, UAN, wages, contributions; contractor PAN &amp; GST; PE code; work order; contract value)</t>
  </si>
  <si>
    <t>Principal employer's monthly abstract of aggregate recoveries, contractor-wise, with TRRN payment cross-references</t>
  </si>
  <si>
    <t>Forms I, III, IV</t>
  </si>
  <si>
    <t>[identities pending extraction from gazette annexure]</t>
  </si>
  <si>
    <t>-</t>
  </si>
  <si>
    <t>Form 138 (old 24Q)</t>
  </si>
  <si>
    <t>TDS salary [Form 138/130, IT Rules 2026]</t>
  </si>
  <si>
    <t>Quarterly TDS statement on salaries: Annexure I (challan + deductee rows, all quarters); Annexure II (annual salary detail, Q4); Annexure III (specified senior citizens, Q4)</t>
  </si>
  <si>
    <t>CALENDAR-RECURRING (quarterly)</t>
  </si>
  <si>
    <t>Form 130 (old 16)</t>
  </si>
  <si>
    <t>Annual TDS certificate to each employee (generated from Annexure II via TRACES)</t>
  </si>
  <si>
    <t>CALENDAR-RECURRING (annual)</t>
  </si>
  <si>
    <t>ESI Monthly Contribution (MC)</t>
  </si>
  <si>
    <t>ESI [MC upload + half-yearly RC]</t>
  </si>
  <si>
    <t>Monthly per-IP upload: IP number, IP name, days paid, total monthly wages, zero-day reason code, last working day (portal computes contributions)</t>
  </si>
  <si>
    <t>ESI Return of Contributions (RC)</t>
  </si>
  <si>
    <t>Half-yearly return of contributions (largely auto-generated from monthly filings)</t>
  </si>
  <si>
    <t>CALENDAR-RECURRING (half-yearly)</t>
  </si>
  <si>
    <t>PT periodic return</t>
  </si>
  <si>
    <t>PT return [standard template]</t>
  </si>
  <si>
    <t>STANDARD TEMPLATE (state forms vary; e.g., Maharashtra Form III-B): slab-wise employee counts x rate, tax payable, challan</t>
  </si>
  <si>
    <t>CALENDAR-RECURRING (monthly/annual by state)</t>
  </si>
  <si>
    <t>LWF periodic return</t>
  </si>
  <si>
    <t>LWF return [standard template]</t>
  </si>
  <si>
    <t>STANDARD TEMPLATE (16 state acts vary): establishment identity, employee counts by class, employee+employer contribution, remittance</t>
  </si>
  <si>
    <t>CALENDAR-RECURRING (half-yearly/annual by state)</t>
  </si>
  <si>
    <t>Element code</t>
  </si>
  <si>
    <t>Description</t>
  </si>
  <si>
    <t>SS Rules</t>
  </si>
  <si>
    <t>OSH Rules</t>
  </si>
  <si>
    <t>IR Rules</t>
  </si>
  <si>
    <t>EPF Scheme</t>
  </si>
  <si>
    <t>TDS 138/130</t>
  </si>
  <si>
    <t>ESI MC/RC</t>
  </si>
  <si>
    <t>PT std</t>
  </si>
  <si>
    <t>LWF std</t>
  </si>
  <si>
    <t>(Wage Rules: pending)</t>
  </si>
  <si>
    <t>TOTAL</t>
  </si>
  <si>
    <t>EST_NAME</t>
  </si>
  <si>
    <t>Name of establishment (and address where combined)</t>
  </si>
  <si>
    <t>EMP_NAME</t>
  </si>
  <si>
    <t>Employee/woman/claimant name (individual-level)</t>
  </si>
  <si>
    <t>LIN</t>
  </si>
  <si>
    <t>Labour Identification Number</t>
  </si>
  <si>
    <t>EST_ADDRESS</t>
  </si>
  <si>
    <t>Establishment address decomposed (premise/sub-locality/district/state/PIN)</t>
  </si>
  <si>
    <t>EMPLOYER_NAME</t>
  </si>
  <si>
    <t>Name of employer + address</t>
  </si>
  <si>
    <t>WAGE_COMPONENTS</t>
  </si>
  <si>
    <t>Basic/DA/allowances/OT/deductions/net</t>
  </si>
  <si>
    <t>AUTHORISED_PERSON</t>
  </si>
  <si>
    <t>Authorised/indenting person: name, designation, contact</t>
  </si>
  <si>
    <t>EMP_DESIGNATION</t>
  </si>
  <si>
    <t>Post/designation/nature of work</t>
  </si>
  <si>
    <t>CONTRACTOR_LIST</t>
  </si>
  <si>
    <t>Contractors with LIN and labour engaged</t>
  </si>
  <si>
    <t>PAN</t>
  </si>
  <si>
    <t>PAN (establishment in I; employer PAN/TAN in XIII/XV headers; employee PAN in XIII)</t>
  </si>
  <si>
    <t>REG_NO_UNDER_CODE</t>
  </si>
  <si>
    <t>Registration number under the Code</t>
  </si>
  <si>
    <t>UAN</t>
  </si>
  <si>
    <t>Universal Account Number</t>
  </si>
  <si>
    <t>EMP_DOJ</t>
  </si>
  <si>
    <t>Date of appointment</t>
  </si>
  <si>
    <t>ATTENDANCE_DAYS</t>
  </si>
  <si>
    <t>Month-wise employed/laid-off days</t>
  </si>
  <si>
    <t>HEADCOUNT_MATRIX</t>
  </si>
  <si>
    <t>Headcount by skill x gender (max/avg or year-end)</t>
  </si>
  <si>
    <t>EPF_CODE</t>
  </si>
  <si>
    <t>EPF code number of establishment (scheme registration identifier)</t>
  </si>
  <si>
    <t>ESIC_IP_NO</t>
  </si>
  <si>
    <t>ESIC Insurance Number</t>
  </si>
  <si>
    <t>CONTRIBUTION_PAID</t>
  </si>
  <si>
    <t>Payments, proofs, outstanding/excess</t>
  </si>
  <si>
    <t>EMPLOYER_CONTACT</t>
  </si>
  <si>
    <t>Employer email / telephone / mobile</t>
  </si>
  <si>
    <t>ENTITY_TYPE</t>
  </si>
  <si>
    <t>Type of entity / ownership / sector</t>
  </si>
  <si>
    <t>EMP_FATHER_SPOUSE</t>
  </si>
  <si>
    <t>Father's/spouse's/husband's name</t>
  </si>
  <si>
    <t>NOMINEE_DETAILS</t>
  </si>
  <si>
    <t>Nominee particulars</t>
  </si>
  <si>
    <t>SEPARATIONS</t>
  </si>
  <si>
    <t>Dismissals/retrenchments/layoffs with payments</t>
  </si>
  <si>
    <t>CONTRIBUTION_ASSESSED</t>
  </si>
  <si>
    <t>Contribution self-assessment (both bases)</t>
  </si>
  <si>
    <t>ESIGN</t>
  </si>
  <si>
    <t>e-sign / digital signature</t>
  </si>
  <si>
    <t>PAYMENT_REFS</t>
  </si>
  <si>
    <t>Challan/TRRN payment references</t>
  </si>
  <si>
    <t>RETURN_PERIOD</t>
  </si>
  <si>
    <t>Period of return</t>
  </si>
  <si>
    <t>EMP_DOB</t>
  </si>
  <si>
    <t>Date of birth</t>
  </si>
  <si>
    <t>EMP_SEX</t>
  </si>
  <si>
    <t>Sex (individual)</t>
  </si>
  <si>
    <t>MATERNITY_EVENT_DATES</t>
  </si>
  <si>
    <t>Confinement/birth/proof dates lifecycle</t>
  </si>
  <si>
    <t>BANK_ACCOUNT</t>
  </si>
  <si>
    <t>Bank account for refund</t>
  </si>
  <si>
    <t>SITE_LOCATION</t>
  </si>
  <si>
    <t>Construction site name/address/location</t>
  </si>
  <si>
    <t>CORRESPONDENCE_ADDR</t>
  </si>
  <si>
    <t>Correspondence address for the work</t>
  </si>
  <si>
    <t>CONSTRUCTION_NATURE</t>
  </si>
  <si>
    <t>Nature of construction work</t>
  </si>
  <si>
    <t>COMMENCEMENT_DATE</t>
  </si>
  <si>
    <t>Date of commencement</t>
  </si>
  <si>
    <t>WORK_DURATION</t>
  </si>
  <si>
    <t>Duration (approx/actual)</t>
  </si>
  <si>
    <t>PARTY_CASE_DETAILS</t>
  </si>
  <si>
    <t>Party names/addresses, case refs</t>
  </si>
  <si>
    <t>EPF_ESI_CODES</t>
  </si>
  <si>
    <t>EPF code / ESI code / ECR numbers as cross-references</t>
  </si>
  <si>
    <t>AADHAAR</t>
  </si>
  <si>
    <t>Aadhaar number (register; non-enrolled employee list in XVII Pt-IV)</t>
  </si>
  <si>
    <t>GST_NO</t>
  </si>
  <si>
    <t>GST registration number</t>
  </si>
  <si>
    <t>TAX_DEDUCTED</t>
  </si>
  <si>
    <t>Tax/TDS amounts deducted, deposited, payable</t>
  </si>
  <si>
    <t>NATURE_OF_BUSINESS</t>
  </si>
  <si>
    <t>Principal activity / economic activity</t>
  </si>
  <si>
    <t>BRANCH_STRUCTURE</t>
  </si>
  <si>
    <t>Head office / branch particulars</t>
  </si>
  <si>
    <t>GEO_COORDINATES</t>
  </si>
  <si>
    <t>Geo co-ordinates of establishment</t>
  </si>
  <si>
    <t>EMP_MARITAL_STATUS</t>
  </si>
  <si>
    <t>Marital status</t>
  </si>
  <si>
    <t>EMP_ADDRESS</t>
  </si>
  <si>
    <t>Employee address (full decomposition)</t>
  </si>
  <si>
    <t>EXIT_CAUSE_DATE</t>
  </si>
  <si>
    <t>Cause and date of exit/disablement/death</t>
  </si>
  <si>
    <t>SERVICE_YEARS</t>
  </si>
  <si>
    <t>Years of continuous service</t>
  </si>
  <si>
    <t>MATERNITY_PAYMENTS</t>
  </si>
  <si>
    <t>Maternity benefit amounts and dates</t>
  </si>
  <si>
    <t>MEDICAL_CERT</t>
  </si>
  <si>
    <t>Medical certification particulars</t>
  </si>
  <si>
    <t>GIG_WORKER_COUNT</t>
  </si>
  <si>
    <t>Gig/platform workers engaged (1 Apr)</t>
  </si>
  <si>
    <t>ANNUAL_TURNOVER</t>
  </si>
  <si>
    <t>Annual turnover (excl. central taxes)</t>
  </si>
  <si>
    <t>CONSTRUCTION_AREA</t>
  </si>
  <si>
    <t>Area of construction (proposed/completed)</t>
  </si>
  <si>
    <t>CONSTRUCTION_COST</t>
  </si>
  <si>
    <t>Estimated/incurred cost (rate basis + CE certificate)</t>
  </si>
  <si>
    <t>CESS_AMOUNT</t>
  </si>
  <si>
    <t>Cess computed (% x cost)</t>
  </si>
  <si>
    <t>CESS_PAYMENTS</t>
  </si>
  <si>
    <t>Advance/instalment cess payments</t>
  </si>
  <si>
    <t>HEADER_BLOCK_REPEAT</t>
  </si>
  <si>
    <t>Verbatim 8-field header re-asked (XVI &amp; XVIII repeat XV)</t>
  </si>
  <si>
    <t>NIC_CODE</t>
  </si>
  <si>
    <t>NIC activity classification</t>
  </si>
  <si>
    <t>OPERATION_EVENT</t>
  </si>
  <si>
    <t>Commencement/cessation/closure particulars</t>
  </si>
  <si>
    <t>ACCIDENT_EVENT</t>
  </si>
  <si>
    <t>Accident date/shift/hour/cause</t>
  </si>
  <si>
    <t>WAGE_PERIOD</t>
  </si>
  <si>
    <t>Wage period and periodicity</t>
  </si>
  <si>
    <t>ENFORCEMENT_PARTICULARS</t>
  </si>
  <si>
    <t>Improvement/composition particulars</t>
  </si>
  <si>
    <t>STRIKE_LOCKOUT</t>
  </si>
  <si>
    <t>Strike/lock-out notice: union or representative slate / employer, date, reasons</t>
  </si>
  <si>
    <t>SEPARATION_REASON</t>
  </si>
  <si>
    <t>Reasons and establishment particulars (Annexure-I)</t>
  </si>
  <si>
    <t>SEPARATION_NOTICE</t>
  </si>
  <si>
    <t>Notice/pay-in-lieu dates to workers</t>
  </si>
  <si>
    <t>CIN</t>
  </si>
  <si>
    <t>Corporate Identification Number (MCA)</t>
  </si>
  <si>
    <t>TAN</t>
  </si>
  <si>
    <t>TAN of establishment (CBDT deductor id)</t>
  </si>
  <si>
    <t>EMP_DECLARATIONS</t>
  </si>
  <si>
    <t>Employee-declared facts: regime option, investments, rent, other income, prev-employer salary</t>
  </si>
  <si>
    <t>EMP_RELIGION</t>
  </si>
  <si>
    <t>Religion</t>
  </si>
  <si>
    <t>EMP_DEPT</t>
  </si>
  <si>
    <t>Department/branch/section</t>
  </si>
  <si>
    <t>EMP_SUPERANNUATION</t>
  </si>
  <si>
    <t>Date of superannuation</t>
  </si>
  <si>
    <t>PF_NO</t>
  </si>
  <si>
    <t>EPFO PF Registration Number</t>
  </si>
  <si>
    <t>MIGRANT_COUNT</t>
  </si>
  <si>
    <t>Maximum migrant workers</t>
  </si>
  <si>
    <t>FTE_COUNT</t>
  </si>
  <si>
    <t>Fixed term employees</t>
  </si>
  <si>
    <t>HOURS_SHIFTS</t>
  </si>
  <si>
    <t>Working hours and shifts</t>
  </si>
  <si>
    <t>WELFARE_AMENITIES</t>
  </si>
  <si>
    <t>Canteen/creche/ambulance/safety committee/officers/QMP</t>
  </si>
  <si>
    <t>IR_BODIES</t>
  </si>
  <si>
    <t>Works committee, GRC, unions, negotiating union/council</t>
  </si>
  <si>
    <t>MANDAYS_LOST</t>
  </si>
  <si>
    <t>Man-days lost (strike/lockout/accident)</t>
  </si>
  <si>
    <t>MATERNITY_STATS</t>
  </si>
  <si>
    <t>Aggregate maternity benefit statistics</t>
  </si>
  <si>
    <t>BONUS_PAID</t>
  </si>
  <si>
    <t>Bonus coverage, amount, date</t>
  </si>
  <si>
    <t>ACCIDENT_STATS</t>
  </si>
  <si>
    <t>Accidents, dangerous occurrences, diseases</t>
  </si>
  <si>
    <t>MINE_IDENTITY</t>
  </si>
  <si>
    <t>Mine-specific identity block</t>
  </si>
  <si>
    <t>MINE_SAFETY_PARAMS</t>
  </si>
  <si>
    <t>Mining method &amp; safety parameters</t>
  </si>
  <si>
    <t>MINE_HEALTH_TRAINING</t>
  </si>
  <si>
    <t>IME/PME and training counts</t>
  </si>
  <si>
    <t>MINE_SAFETY_PLAN</t>
  </si>
  <si>
    <t>Safety management plan and hazards</t>
  </si>
  <si>
    <t>VACANCY_PARTICULARS</t>
  </si>
  <si>
    <t>Per-vacancy particulars (designation to pay)</t>
  </si>
  <si>
    <t>VACANCY_FLOWS</t>
  </si>
  <si>
    <t>Vacancies occurred/reported/filled by source</t>
  </si>
  <si>
    <t>VACANCY_SHORTAGES</t>
  </si>
  <si>
    <t>Unfilled posts with skill requirements</t>
  </si>
  <si>
    <t>VACANCY_FORECAST</t>
  </si>
  <si>
    <t>Next-FY manpower forecast by occupation</t>
  </si>
  <si>
    <t>COMPLETION_DATE</t>
  </si>
  <si>
    <t>Date of completion</t>
  </si>
  <si>
    <t>GROUNDS_FACTS</t>
  </si>
  <si>
    <t>Grounds/facts/injury/wage particulars</t>
  </si>
  <si>
    <t>RELIEF_AMOUNTS</t>
  </si>
  <si>
    <t>Relief/amounts/compounding sums</t>
  </si>
  <si>
    <t>MANAGER_DETAILS</t>
  </si>
  <si>
    <t>Manager/agent particulars</t>
  </si>
  <si>
    <t>SECTOR_BLOCK</t>
  </si>
  <si>
    <t>Sector-specific blocks (factory/mine/dock/BOCW)</t>
  </si>
  <si>
    <t>ESIC_EMPLOYER_CODE</t>
  </si>
  <si>
    <t>ESIC employer code</t>
  </si>
  <si>
    <t>INJURED_PERSON</t>
  </si>
  <si>
    <t>Injured person identity/particulars</t>
  </si>
  <si>
    <t>ACCIDENT_LOCATION</t>
  </si>
  <si>
    <t>Accident location within establishment</t>
  </si>
  <si>
    <t>WORK_PERIODS</t>
  </si>
  <si>
    <t>Work periods by groups/relays, gender-wise</t>
  </si>
  <si>
    <t>EMP_CONTACT</t>
  </si>
  <si>
    <t>Employee mobile</t>
  </si>
  <si>
    <t>EPS_NPS</t>
  </si>
  <si>
    <t>EPS/NPS membership</t>
  </si>
  <si>
    <t>EMP_PAY_HISTORY</t>
  </si>
  <si>
    <t>Posting/pay/promotion history</t>
  </si>
  <si>
    <t>XVII_AGGREGATES</t>
  </si>
  <si>
    <t>Annual aggregates (welfare, IR, separations, maternity, bonus, accidents)</t>
  </si>
  <si>
    <t>MINE_BLOCKS</t>
  </si>
  <si>
    <t>Mines Part-II blocks</t>
  </si>
  <si>
    <t>IT_BENEFIT</t>
  </si>
  <si>
    <t>s.36(1)(iv) IT contribution/benefit by FY</t>
  </si>
  <si>
    <t>IT_ARTEFACTS</t>
  </si>
  <si>
    <t>Balance Sheet, Form 26AS, Form 26Q uploads (mandatory)</t>
  </si>
  <si>
    <t>LICENCE_PARTICULARS</t>
  </si>
  <si>
    <t>Licence terms/security deposit</t>
  </si>
  <si>
    <t>WORKER_CERT</t>
  </si>
  <si>
    <t>Experience certificate particulars</t>
  </si>
  <si>
    <t>AGREEMENT_PARTICULARS</t>
  </si>
  <si>
    <t>Producer-AV worker agreement</t>
  </si>
  <si>
    <t>STANDING_ORDER_STATUS</t>
  </si>
  <si>
    <t>Standing-order certification lifecycle incl. unique continuous number</t>
  </si>
  <si>
    <t>SERVICE_CHANGE</t>
  </si>
  <si>
    <t>Intended change of service conditions, workers affected, dates</t>
  </si>
  <si>
    <t>SETTLEMENT_TERMS</t>
  </si>
  <si>
    <t>Settlement parties, representatives, terms</t>
  </si>
  <si>
    <t>ARBITRATION_TERMS</t>
  </si>
  <si>
    <t>Arbitration parties, dispute, arbitrator, reference terms</t>
  </si>
  <si>
    <t>MONEY_CLAIM</t>
  </si>
  <si>
    <t>Dues/benefit claims: worker, employer, amount, basis</t>
  </si>
  <si>
    <t>DECLARATIONS</t>
  </si>
  <si>
    <t>Dues/compensation, insolvency, compliance, court-case declarations</t>
  </si>
  <si>
    <t>CONTRACT_COMMERCIALS</t>
  </si>
  <si>
    <t>Contract value / work-order commercial terms</t>
  </si>
  <si>
    <t>PT_REG_NO</t>
  </si>
  <si>
    <t>PTRC / PT registration number (state)</t>
  </si>
  <si>
    <t>LWF_REG_NO</t>
  </si>
  <si>
    <t>LWF establishment registration number (state board)</t>
  </si>
  <si>
    <t>FIN_STATEMENTS</t>
  </si>
  <si>
    <t>Balance sheet / P&amp;L / audit report annexures demanded</t>
  </si>
  <si>
    <t>PRODUCTION_DATA</t>
  </si>
  <si>
    <t>Item-wise annual (3yr) + month-wise (12m) production figures</t>
  </si>
  <si>
    <t>GROUP_COMPANIES</t>
  </si>
  <si>
    <t>Inter-connected companies / common-management entities</t>
  </si>
  <si>
    <t>Element</t>
  </si>
  <si>
    <t>ANNUAL government transmissions (calendar-recurring filings, full-stack TG establishment)</t>
  </si>
  <si>
    <t>+ Event-recurring filings asking it (count of filing types - per-event floor)</t>
  </si>
  <si>
    <t>Reading note</t>
  </si>
  <si>
    <t>the same wage facts: ECR 12 + contractor stmt 12 + ESI MC 12 + ESI RC 2 + 138 4 + PT 12 + LWF 1 + annual return 1 (+ employee-facing wage slips 12 and Form 130, counted separately)</t>
  </si>
  <si>
    <t>challan/TRRN legs incl. monthly TDS deposit</t>
  </si>
  <si>
    <t>one workforce's names, retransmitted monthly across three identity systems</t>
  </si>
  <si>
    <t>header duplication annualised - PT is the monthly driver</t>
  </si>
  <si>
    <t>employer-computed contribution columns (ESIC computes state-side - the asymmetry, annualised)</t>
  </si>
  <si>
    <t>the SAME attendance atom, opposite polarities: NCP (ECR) + days-paid (ESI MC)</t>
  </si>
  <si>
    <t>ECR + contractor statement - 24 identity transmissions/yr for contract-heavy establishments</t>
  </si>
  <si>
    <t>HEADLINE: a full-stack Telangana establishment transmits its WAGE FACTS to government 55 times a year across 8 calendar-recurring filings; its EMPLOYEES' NAMES 40 times; and every one of these transmissions is derivable from ONE monthly payroll record. Method notes: factors = statutory cadence; event/one-time/registers excluded from the annual count (reported as event floor); employee-facing outputs (wage slip x12, Form 130 x1) excluded from government count; PT monthly per TG practice [V-MED]; LWF annual per TG [V-MED]; contractor forms (XI/XII) assume contract labour engaged - subtract 24 from WAGE_COMPONENTS for establishments without contractors.</t>
  </si>
  <si>
    <t>already held by government</t>
  </si>
  <si>
    <t>&gt;0.6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</si>
</sst>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9"/>
      <name val="Arial"/>
      <charset val="1"/>
    </font>
    <font>
      <sz val="9"/>
      <name val="Arial"/>
      <charset val="1"/>
    </font>
    <font>
      <b/>
      <sz val="9"/>
      <color rgb="FFFFFFFF"/>
      <name val="Arial"/>
      <charset val="1"/>
    </font>
    <font>
      <b/>
      <sz val="8"/>
      <name val="Arial"/>
      <charset val="1"/>
    </font>
    <font>
      <sz val="8"/>
      <name val="Arial"/>
      <charset val="1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9999"/>
        <bgColor rgb="FFFF8080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1" fillId="7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99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zoomScaleNormal="100" workbookViewId="0">
      <selection activeCell="A17" sqref="A17"/>
    </sheetView>
  </sheetViews>
  <sheetFormatPr defaultColWidth="8.6328125" defaultRowHeight="14.5" x14ac:dyDescent="0.35"/>
  <cols>
    <col min="1" max="1" width="116" customWidth="1"/>
    <col min="2" max="2" width="10" customWidth="1"/>
  </cols>
  <sheetData>
    <row r="1" spans="1:1" ht="15" customHeight="1" x14ac:dyDescent="0.35">
      <c r="A1" s="1" t="s">
        <v>0</v>
      </c>
    </row>
    <row r="2" spans="1:1" ht="15" customHeight="1" x14ac:dyDescent="0.35">
      <c r="A2" s="2" t="s">
        <v>1</v>
      </c>
    </row>
    <row r="3" spans="1:1" ht="15" customHeight="1" x14ac:dyDescent="0.35">
      <c r="A3" s="2" t="s">
        <v>2</v>
      </c>
    </row>
    <row r="4" spans="1:1" ht="15" customHeight="1" x14ac:dyDescent="0.35">
      <c r="A4" s="2" t="s">
        <v>3</v>
      </c>
    </row>
    <row r="5" spans="1:1" ht="15" customHeight="1" x14ac:dyDescent="0.35">
      <c r="A5" s="2" t="s">
        <v>4</v>
      </c>
    </row>
    <row r="6" spans="1:1" ht="15" customHeight="1" x14ac:dyDescent="0.35">
      <c r="A6" s="2" t="s">
        <v>5</v>
      </c>
    </row>
    <row r="7" spans="1:1" ht="15" customHeight="1" x14ac:dyDescent="0.35">
      <c r="A7" s="2" t="s">
        <v>6</v>
      </c>
    </row>
    <row r="8" spans="1:1" ht="15" customHeight="1" x14ac:dyDescent="0.35">
      <c r="A8" s="2"/>
    </row>
    <row r="9" spans="1:1" ht="15" customHeight="1" x14ac:dyDescent="0.35">
      <c r="A9" s="1" t="s">
        <v>7</v>
      </c>
    </row>
    <row r="10" spans="1:1" ht="15" customHeight="1" x14ac:dyDescent="0.35">
      <c r="A10" s="2" t="s">
        <v>8</v>
      </c>
    </row>
    <row r="11" spans="1:1" ht="15" customHeight="1" x14ac:dyDescent="0.35">
      <c r="A11" s="2" t="s">
        <v>9</v>
      </c>
    </row>
    <row r="12" spans="1:1" ht="15" customHeight="1" x14ac:dyDescent="0.35">
      <c r="A12" s="2" t="s">
        <v>10</v>
      </c>
    </row>
    <row r="13" spans="1:1" ht="15" customHeight="1" x14ac:dyDescent="0.35">
      <c r="A13" s="2" t="s">
        <v>11</v>
      </c>
    </row>
    <row r="14" spans="1:1" ht="15" customHeight="1" x14ac:dyDescent="0.35">
      <c r="A14" s="2" t="s">
        <v>12</v>
      </c>
    </row>
    <row r="15" spans="1:1" ht="15" customHeight="1" x14ac:dyDescent="0.35">
      <c r="A15" s="2"/>
    </row>
    <row r="16" spans="1:1" ht="15" customHeight="1" x14ac:dyDescent="0.35">
      <c r="A16" s="14" t="s">
        <v>13</v>
      </c>
    </row>
    <row r="17" spans="1:2" ht="15" customHeight="1" x14ac:dyDescent="0.35">
      <c r="A17" s="3" t="s">
        <v>14</v>
      </c>
      <c r="B17" s="4">
        <f>COUNTA(Master_Forms_List!A2:A120)</f>
        <v>89</v>
      </c>
    </row>
    <row r="18" spans="1:2" ht="15" customHeight="1" x14ac:dyDescent="0.35">
      <c r="A18" s="3" t="s">
        <v>15</v>
      </c>
      <c r="B18" s="4">
        <f>COUNTA(Element_Repetition!A2:A200)</f>
        <v>120</v>
      </c>
    </row>
    <row r="19" spans="1:2" ht="15" customHeight="1" x14ac:dyDescent="0.35">
      <c r="A19" s="3" t="s">
        <v>16</v>
      </c>
      <c r="B19" s="4">
        <f>COUNTIF(Element_Repetition!L2:L200,"&gt;=10")</f>
        <v>6</v>
      </c>
    </row>
    <row r="20" spans="1:2" ht="15" customHeight="1" x14ac:dyDescent="0.35">
      <c r="A20" s="3" t="s">
        <v>17</v>
      </c>
      <c r="B20" s="4">
        <f>COUNTIFS(Element_Repetition!L2:L200,"&gt;=4",Element_Repetition!L2:L200,"&lt;10")</f>
        <v>20</v>
      </c>
    </row>
    <row r="21" spans="1:2" ht="15" customHeight="1" x14ac:dyDescent="0.35">
      <c r="A21" s="3" t="s">
        <v>18</v>
      </c>
      <c r="B21" s="4">
        <f>COUNTIFS(Element_Repetition!L2:L200,"&gt;=2",Element_Repetition!L2:L200,"&lt;4")</f>
        <v>42</v>
      </c>
    </row>
    <row r="22" spans="1:2" ht="15" customHeight="1" x14ac:dyDescent="0.35">
      <c r="A22" s="3" t="s">
        <v>19</v>
      </c>
      <c r="B22" s="4">
        <f>COUNTIF(Element_Repetition!L2:L200,1)</f>
        <v>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0"/>
  <sheetViews>
    <sheetView zoomScaleNormal="100" workbookViewId="0">
      <pane ySplit="1" topLeftCell="A77" activePane="bottomLeft" state="frozen"/>
      <selection pane="bottomLeft" activeCell="A90" sqref="A90"/>
    </sheetView>
  </sheetViews>
  <sheetFormatPr defaultColWidth="8.6328125" defaultRowHeight="14.5" x14ac:dyDescent="0.35"/>
  <cols>
    <col min="1" max="1" width="13" customWidth="1"/>
    <col min="2" max="2" width="30" customWidth="1"/>
    <col min="3" max="3" width="52" customWidth="1"/>
    <col min="4" max="4" width="16" customWidth="1"/>
    <col min="5" max="5" width="20" customWidth="1"/>
  </cols>
  <sheetData>
    <row r="1" spans="1:5" ht="27" customHeight="1" x14ac:dyDescent="0.35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</row>
    <row r="2" spans="1:5" ht="15" customHeight="1" x14ac:dyDescent="0.35">
      <c r="A2" s="6" t="s">
        <v>25</v>
      </c>
      <c r="B2" s="7" t="s">
        <v>26</v>
      </c>
      <c r="C2" s="7" t="s">
        <v>27</v>
      </c>
      <c r="D2" s="7" t="s">
        <v>28</v>
      </c>
      <c r="E2" s="7" t="s">
        <v>29</v>
      </c>
    </row>
    <row r="3" spans="1:5" ht="15" customHeight="1" x14ac:dyDescent="0.35">
      <c r="A3" s="6" t="s">
        <v>30</v>
      </c>
      <c r="B3" s="7" t="s">
        <v>26</v>
      </c>
      <c r="C3" s="7" t="s">
        <v>31</v>
      </c>
      <c r="D3" s="7" t="s">
        <v>32</v>
      </c>
      <c r="E3" s="7" t="s">
        <v>29</v>
      </c>
    </row>
    <row r="4" spans="1:5" ht="15" customHeight="1" x14ac:dyDescent="0.35">
      <c r="A4" s="6" t="s">
        <v>33</v>
      </c>
      <c r="B4" s="7" t="s">
        <v>26</v>
      </c>
      <c r="C4" s="7" t="s">
        <v>34</v>
      </c>
      <c r="D4" s="7" t="s">
        <v>35</v>
      </c>
      <c r="E4" s="7" t="s">
        <v>36</v>
      </c>
    </row>
    <row r="5" spans="1:5" ht="15" customHeight="1" x14ac:dyDescent="0.35">
      <c r="A5" s="6" t="s">
        <v>37</v>
      </c>
      <c r="B5" s="7" t="s">
        <v>26</v>
      </c>
      <c r="C5" s="7" t="s">
        <v>38</v>
      </c>
      <c r="D5" s="7" t="s">
        <v>39</v>
      </c>
      <c r="E5" s="7" t="s">
        <v>40</v>
      </c>
    </row>
    <row r="6" spans="1:5" ht="15" customHeight="1" x14ac:dyDescent="0.35">
      <c r="A6" s="6" t="s">
        <v>41</v>
      </c>
      <c r="B6" s="7" t="s">
        <v>26</v>
      </c>
      <c r="C6" s="7" t="s">
        <v>42</v>
      </c>
      <c r="D6" s="7" t="s">
        <v>43</v>
      </c>
      <c r="E6" s="7" t="s">
        <v>40</v>
      </c>
    </row>
    <row r="7" spans="1:5" ht="15" customHeight="1" x14ac:dyDescent="0.35">
      <c r="A7" s="6" t="s">
        <v>44</v>
      </c>
      <c r="B7" s="7" t="s">
        <v>26</v>
      </c>
      <c r="C7" s="7" t="s">
        <v>45</v>
      </c>
      <c r="D7" s="7" t="s">
        <v>39</v>
      </c>
      <c r="E7" s="7" t="s">
        <v>29</v>
      </c>
    </row>
    <row r="8" spans="1:5" ht="15" customHeight="1" x14ac:dyDescent="0.35">
      <c r="A8" s="6" t="s">
        <v>46</v>
      </c>
      <c r="B8" s="7" t="s">
        <v>26</v>
      </c>
      <c r="C8" s="7" t="s">
        <v>47</v>
      </c>
      <c r="D8" s="7" t="s">
        <v>43</v>
      </c>
      <c r="E8" s="7" t="s">
        <v>29</v>
      </c>
    </row>
    <row r="9" spans="1:5" ht="18.75" customHeight="1" x14ac:dyDescent="0.35">
      <c r="A9" s="6" t="s">
        <v>48</v>
      </c>
      <c r="B9" s="7" t="s">
        <v>26</v>
      </c>
      <c r="C9" s="7" t="s">
        <v>49</v>
      </c>
      <c r="D9" s="7" t="s">
        <v>43</v>
      </c>
      <c r="E9" s="7" t="s">
        <v>29</v>
      </c>
    </row>
    <row r="10" spans="1:5" ht="15" customHeight="1" x14ac:dyDescent="0.35">
      <c r="A10" s="6" t="s">
        <v>50</v>
      </c>
      <c r="B10" s="7" t="s">
        <v>26</v>
      </c>
      <c r="C10" s="7" t="s">
        <v>51</v>
      </c>
      <c r="D10" s="7" t="s">
        <v>39</v>
      </c>
      <c r="E10" s="7" t="s">
        <v>29</v>
      </c>
    </row>
    <row r="11" spans="1:5" ht="18.75" customHeight="1" x14ac:dyDescent="0.35">
      <c r="A11" s="6" t="s">
        <v>52</v>
      </c>
      <c r="B11" s="7" t="s">
        <v>26</v>
      </c>
      <c r="C11" s="7" t="s">
        <v>53</v>
      </c>
      <c r="D11" s="7" t="s">
        <v>54</v>
      </c>
      <c r="E11" s="7" t="s">
        <v>40</v>
      </c>
    </row>
    <row r="12" spans="1:5" ht="18.75" customHeight="1" x14ac:dyDescent="0.35">
      <c r="A12" s="6" t="s">
        <v>55</v>
      </c>
      <c r="B12" s="7" t="s">
        <v>26</v>
      </c>
      <c r="C12" s="7" t="s">
        <v>56</v>
      </c>
      <c r="D12" s="7" t="s">
        <v>57</v>
      </c>
      <c r="E12" s="7" t="s">
        <v>40</v>
      </c>
    </row>
    <row r="13" spans="1:5" ht="15" customHeight="1" x14ac:dyDescent="0.35">
      <c r="A13" s="6" t="s">
        <v>58</v>
      </c>
      <c r="B13" s="7" t="s">
        <v>26</v>
      </c>
      <c r="C13" s="7" t="s">
        <v>59</v>
      </c>
      <c r="D13" s="7" t="s">
        <v>60</v>
      </c>
      <c r="E13" s="7" t="s">
        <v>40</v>
      </c>
    </row>
    <row r="14" spans="1:5" ht="15" customHeight="1" x14ac:dyDescent="0.35">
      <c r="A14" s="6" t="s">
        <v>61</v>
      </c>
      <c r="B14" s="7" t="s">
        <v>26</v>
      </c>
      <c r="C14" s="7" t="s">
        <v>62</v>
      </c>
      <c r="D14" s="7" t="s">
        <v>63</v>
      </c>
      <c r="E14" s="7" t="s">
        <v>29</v>
      </c>
    </row>
    <row r="15" spans="1:5" ht="15" customHeight="1" x14ac:dyDescent="0.35">
      <c r="A15" s="6" t="s">
        <v>64</v>
      </c>
      <c r="B15" s="7" t="s">
        <v>26</v>
      </c>
      <c r="C15" s="7" t="s">
        <v>28</v>
      </c>
      <c r="D15" s="7" t="s">
        <v>28</v>
      </c>
      <c r="E15" s="7" t="s">
        <v>29</v>
      </c>
    </row>
    <row r="16" spans="1:5" ht="15" customHeight="1" x14ac:dyDescent="0.35">
      <c r="A16" s="6" t="s">
        <v>65</v>
      </c>
      <c r="B16" s="7" t="s">
        <v>26</v>
      </c>
      <c r="C16" s="7" t="s">
        <v>66</v>
      </c>
      <c r="D16" s="7" t="s">
        <v>67</v>
      </c>
      <c r="E16" s="7" t="s">
        <v>68</v>
      </c>
    </row>
    <row r="17" spans="1:5" ht="18.75" customHeight="1" x14ac:dyDescent="0.35">
      <c r="A17" s="6" t="s">
        <v>69</v>
      </c>
      <c r="B17" s="7" t="s">
        <v>26</v>
      </c>
      <c r="C17" s="7" t="s">
        <v>70</v>
      </c>
      <c r="D17" s="7" t="s">
        <v>71</v>
      </c>
      <c r="E17" s="7" t="s">
        <v>40</v>
      </c>
    </row>
    <row r="18" spans="1:5" ht="15" customHeight="1" x14ac:dyDescent="0.35">
      <c r="A18" s="6" t="s">
        <v>72</v>
      </c>
      <c r="B18" s="7" t="s">
        <v>26</v>
      </c>
      <c r="C18" s="7" t="s">
        <v>73</v>
      </c>
      <c r="D18" s="7" t="s">
        <v>74</v>
      </c>
      <c r="E18" s="7" t="s">
        <v>40</v>
      </c>
    </row>
    <row r="19" spans="1:5" ht="15" customHeight="1" x14ac:dyDescent="0.35">
      <c r="A19" s="6" t="s">
        <v>75</v>
      </c>
      <c r="B19" s="7" t="s">
        <v>26</v>
      </c>
      <c r="C19" s="7" t="s">
        <v>76</v>
      </c>
      <c r="D19" s="7" t="s">
        <v>43</v>
      </c>
      <c r="E19" s="7" t="s">
        <v>40</v>
      </c>
    </row>
    <row r="20" spans="1:5" ht="15" customHeight="1" x14ac:dyDescent="0.35">
      <c r="A20" s="6" t="s">
        <v>77</v>
      </c>
      <c r="B20" s="7" t="s">
        <v>26</v>
      </c>
      <c r="C20" s="7" t="s">
        <v>78</v>
      </c>
      <c r="D20" s="7" t="s">
        <v>79</v>
      </c>
      <c r="E20" s="7" t="s">
        <v>40</v>
      </c>
    </row>
    <row r="21" spans="1:5" ht="15" customHeight="1" x14ac:dyDescent="0.35">
      <c r="A21" s="6" t="s">
        <v>80</v>
      </c>
      <c r="B21" s="7" t="s">
        <v>26</v>
      </c>
      <c r="C21" s="7" t="s">
        <v>81</v>
      </c>
      <c r="D21" s="7" t="s">
        <v>28</v>
      </c>
      <c r="E21" s="7" t="s">
        <v>29</v>
      </c>
    </row>
    <row r="22" spans="1:5" ht="15" customHeight="1" x14ac:dyDescent="0.35">
      <c r="A22" s="6" t="s">
        <v>82</v>
      </c>
      <c r="B22" s="7" t="s">
        <v>26</v>
      </c>
      <c r="C22" s="7" t="s">
        <v>83</v>
      </c>
      <c r="D22" s="7" t="s">
        <v>74</v>
      </c>
      <c r="E22" s="7" t="s">
        <v>84</v>
      </c>
    </row>
    <row r="23" spans="1:5" ht="15" customHeight="1" x14ac:dyDescent="0.35">
      <c r="A23" s="6" t="s">
        <v>85</v>
      </c>
      <c r="B23" s="7" t="s">
        <v>26</v>
      </c>
      <c r="C23" s="7" t="s">
        <v>86</v>
      </c>
      <c r="D23" s="7" t="s">
        <v>79</v>
      </c>
      <c r="E23" s="7" t="s">
        <v>84</v>
      </c>
    </row>
    <row r="24" spans="1:5" ht="15" customHeight="1" x14ac:dyDescent="0.35">
      <c r="A24" s="6" t="s">
        <v>87</v>
      </c>
      <c r="B24" s="7" t="s">
        <v>26</v>
      </c>
      <c r="C24" s="7" t="s">
        <v>88</v>
      </c>
      <c r="D24" s="7" t="s">
        <v>89</v>
      </c>
      <c r="E24" s="7" t="s">
        <v>68</v>
      </c>
    </row>
    <row r="25" spans="1:5" ht="15" customHeight="1" x14ac:dyDescent="0.35">
      <c r="A25" s="6" t="s">
        <v>90</v>
      </c>
      <c r="B25" s="7" t="s">
        <v>26</v>
      </c>
      <c r="C25" s="7" t="s">
        <v>91</v>
      </c>
      <c r="D25" s="7" t="s">
        <v>79</v>
      </c>
      <c r="E25" s="7" t="s">
        <v>84</v>
      </c>
    </row>
    <row r="26" spans="1:5" ht="15" customHeight="1" x14ac:dyDescent="0.35">
      <c r="A26" s="6" t="s">
        <v>92</v>
      </c>
      <c r="B26" s="7" t="s">
        <v>26</v>
      </c>
      <c r="C26" s="7" t="s">
        <v>93</v>
      </c>
      <c r="D26" s="7" t="s">
        <v>94</v>
      </c>
      <c r="E26" s="7" t="s">
        <v>29</v>
      </c>
    </row>
    <row r="27" spans="1:5" ht="18.75" customHeight="1" x14ac:dyDescent="0.35">
      <c r="A27" s="6" t="s">
        <v>95</v>
      </c>
      <c r="B27" s="7" t="s">
        <v>26</v>
      </c>
      <c r="C27" s="7" t="s">
        <v>96</v>
      </c>
      <c r="D27" s="7" t="s">
        <v>97</v>
      </c>
      <c r="E27" s="7" t="s">
        <v>40</v>
      </c>
    </row>
    <row r="28" spans="1:5" ht="15" customHeight="1" x14ac:dyDescent="0.35">
      <c r="A28" s="6" t="s">
        <v>98</v>
      </c>
      <c r="B28" s="7" t="s">
        <v>26</v>
      </c>
      <c r="C28" s="7" t="s">
        <v>99</v>
      </c>
      <c r="D28" s="7" t="s">
        <v>79</v>
      </c>
      <c r="E28" s="7" t="s">
        <v>84</v>
      </c>
    </row>
    <row r="29" spans="1:5" ht="15" customHeight="1" x14ac:dyDescent="0.35">
      <c r="A29" s="6" t="s">
        <v>100</v>
      </c>
      <c r="B29" s="7" t="s">
        <v>26</v>
      </c>
      <c r="C29" s="7" t="s">
        <v>101</v>
      </c>
      <c r="D29" s="7" t="s">
        <v>39</v>
      </c>
      <c r="E29" s="7" t="s">
        <v>29</v>
      </c>
    </row>
    <row r="30" spans="1:5" ht="15" customHeight="1" x14ac:dyDescent="0.35">
      <c r="A30" s="6" t="s">
        <v>102</v>
      </c>
      <c r="B30" s="7" t="s">
        <v>26</v>
      </c>
      <c r="C30" s="7" t="s">
        <v>103</v>
      </c>
      <c r="D30" s="7" t="s">
        <v>54</v>
      </c>
      <c r="E30" s="7" t="s">
        <v>29</v>
      </c>
    </row>
    <row r="31" spans="1:5" ht="15" customHeight="1" x14ac:dyDescent="0.35">
      <c r="A31" s="6" t="s">
        <v>104</v>
      </c>
      <c r="B31" s="7" t="s">
        <v>26</v>
      </c>
      <c r="C31" s="7" t="s">
        <v>105</v>
      </c>
      <c r="D31" s="7" t="s">
        <v>43</v>
      </c>
      <c r="E31" s="7" t="s">
        <v>29</v>
      </c>
    </row>
    <row r="32" spans="1:5" ht="15" customHeight="1" x14ac:dyDescent="0.35">
      <c r="A32" s="6" t="s">
        <v>106</v>
      </c>
      <c r="B32" s="7" t="s">
        <v>26</v>
      </c>
      <c r="C32" s="7" t="s">
        <v>107</v>
      </c>
      <c r="D32" s="7" t="s">
        <v>43</v>
      </c>
      <c r="E32" s="7" t="s">
        <v>29</v>
      </c>
    </row>
    <row r="33" spans="1:5" ht="27.75" customHeight="1" x14ac:dyDescent="0.35">
      <c r="A33" s="6" t="s">
        <v>25</v>
      </c>
      <c r="B33" s="7" t="s">
        <v>108</v>
      </c>
      <c r="C33" s="7" t="s">
        <v>109</v>
      </c>
      <c r="D33" s="7" t="s">
        <v>110</v>
      </c>
      <c r="E33" s="7" t="s">
        <v>36</v>
      </c>
    </row>
    <row r="34" spans="1:5" ht="15" customHeight="1" x14ac:dyDescent="0.35">
      <c r="A34" s="6" t="s">
        <v>30</v>
      </c>
      <c r="B34" s="7" t="s">
        <v>108</v>
      </c>
      <c r="C34" s="7" t="s">
        <v>111</v>
      </c>
      <c r="D34" s="7" t="s">
        <v>39</v>
      </c>
      <c r="E34" s="7" t="s">
        <v>36</v>
      </c>
    </row>
    <row r="35" spans="1:5" ht="15" customHeight="1" x14ac:dyDescent="0.35">
      <c r="A35" s="6" t="s">
        <v>33</v>
      </c>
      <c r="B35" s="7" t="s">
        <v>108</v>
      </c>
      <c r="C35" s="7" t="s">
        <v>112</v>
      </c>
      <c r="D35" s="7" t="s">
        <v>54</v>
      </c>
      <c r="E35" s="7" t="s">
        <v>36</v>
      </c>
    </row>
    <row r="36" spans="1:5" ht="15" customHeight="1" x14ac:dyDescent="0.35">
      <c r="A36" s="6" t="s">
        <v>37</v>
      </c>
      <c r="B36" s="7" t="s">
        <v>108</v>
      </c>
      <c r="C36" s="7" t="s">
        <v>113</v>
      </c>
      <c r="D36" s="7" t="s">
        <v>54</v>
      </c>
      <c r="E36" s="7" t="s">
        <v>36</v>
      </c>
    </row>
    <row r="37" spans="1:5" ht="15" customHeight="1" x14ac:dyDescent="0.35">
      <c r="A37" s="6" t="s">
        <v>41</v>
      </c>
      <c r="B37" s="7" t="s">
        <v>108</v>
      </c>
      <c r="C37" s="7" t="s">
        <v>114</v>
      </c>
      <c r="D37" s="7" t="s">
        <v>89</v>
      </c>
      <c r="E37" s="7" t="s">
        <v>68</v>
      </c>
    </row>
    <row r="38" spans="1:5" ht="15" customHeight="1" x14ac:dyDescent="0.35">
      <c r="A38" s="6" t="s">
        <v>44</v>
      </c>
      <c r="B38" s="7" t="s">
        <v>108</v>
      </c>
      <c r="C38" s="7" t="s">
        <v>115</v>
      </c>
      <c r="D38" s="7" t="s">
        <v>43</v>
      </c>
      <c r="E38" s="7" t="s">
        <v>40</v>
      </c>
    </row>
    <row r="39" spans="1:5" ht="27.75" customHeight="1" x14ac:dyDescent="0.35">
      <c r="A39" s="6" t="s">
        <v>46</v>
      </c>
      <c r="B39" s="7" t="s">
        <v>108</v>
      </c>
      <c r="C39" s="7" t="s">
        <v>116</v>
      </c>
      <c r="D39" s="7" t="s">
        <v>43</v>
      </c>
      <c r="E39" s="7" t="s">
        <v>40</v>
      </c>
    </row>
    <row r="40" spans="1:5" ht="15" customHeight="1" x14ac:dyDescent="0.35">
      <c r="A40" s="6" t="s">
        <v>48</v>
      </c>
      <c r="B40" s="7" t="s">
        <v>108</v>
      </c>
      <c r="C40" s="7" t="s">
        <v>117</v>
      </c>
      <c r="D40" s="7" t="s">
        <v>118</v>
      </c>
      <c r="E40" s="7" t="s">
        <v>40</v>
      </c>
    </row>
    <row r="41" spans="1:5" ht="15" customHeight="1" x14ac:dyDescent="0.35">
      <c r="A41" s="6" t="s">
        <v>50</v>
      </c>
      <c r="B41" s="7" t="s">
        <v>108</v>
      </c>
      <c r="C41" s="7" t="s">
        <v>119</v>
      </c>
      <c r="D41" s="7" t="s">
        <v>118</v>
      </c>
      <c r="E41" s="7" t="s">
        <v>40</v>
      </c>
    </row>
    <row r="42" spans="1:5" ht="15" customHeight="1" x14ac:dyDescent="0.35">
      <c r="A42" s="6" t="s">
        <v>52</v>
      </c>
      <c r="B42" s="7" t="s">
        <v>108</v>
      </c>
      <c r="C42" s="7" t="s">
        <v>120</v>
      </c>
      <c r="D42" s="7" t="s">
        <v>54</v>
      </c>
      <c r="E42" s="7" t="s">
        <v>29</v>
      </c>
    </row>
    <row r="43" spans="1:5" ht="15" customHeight="1" x14ac:dyDescent="0.35">
      <c r="A43" s="6" t="s">
        <v>55</v>
      </c>
      <c r="B43" s="7" t="s">
        <v>108</v>
      </c>
      <c r="C43" s="7" t="s">
        <v>121</v>
      </c>
      <c r="D43" s="7" t="s">
        <v>122</v>
      </c>
      <c r="E43" s="7" t="s">
        <v>40</v>
      </c>
    </row>
    <row r="44" spans="1:5" ht="15" customHeight="1" x14ac:dyDescent="0.35">
      <c r="A44" s="6" t="s">
        <v>58</v>
      </c>
      <c r="B44" s="7" t="s">
        <v>108</v>
      </c>
      <c r="C44" s="7" t="s">
        <v>123</v>
      </c>
      <c r="D44" s="7" t="s">
        <v>124</v>
      </c>
      <c r="E44" s="7" t="s">
        <v>40</v>
      </c>
    </row>
    <row r="45" spans="1:5" ht="15" customHeight="1" x14ac:dyDescent="0.35">
      <c r="A45" s="6" t="s">
        <v>125</v>
      </c>
      <c r="B45" s="7" t="s">
        <v>108</v>
      </c>
      <c r="C45" s="7" t="s">
        <v>126</v>
      </c>
      <c r="D45" s="7" t="s">
        <v>89</v>
      </c>
      <c r="E45" s="7" t="s">
        <v>68</v>
      </c>
    </row>
    <row r="46" spans="1:5" ht="15" customHeight="1" x14ac:dyDescent="0.35">
      <c r="A46" s="6" t="s">
        <v>65</v>
      </c>
      <c r="B46" s="7" t="s">
        <v>108</v>
      </c>
      <c r="C46" s="7" t="s">
        <v>127</v>
      </c>
      <c r="D46" s="7" t="s">
        <v>89</v>
      </c>
      <c r="E46" s="7" t="s">
        <v>68</v>
      </c>
    </row>
    <row r="47" spans="1:5" ht="15" customHeight="1" x14ac:dyDescent="0.35">
      <c r="A47" s="6" t="s">
        <v>69</v>
      </c>
      <c r="B47" s="7" t="s">
        <v>108</v>
      </c>
      <c r="C47" s="7" t="s">
        <v>128</v>
      </c>
      <c r="D47" s="7" t="s">
        <v>89</v>
      </c>
      <c r="E47" s="7" t="s">
        <v>68</v>
      </c>
    </row>
    <row r="48" spans="1:5" ht="15" customHeight="1" x14ac:dyDescent="0.35">
      <c r="A48" s="6" t="s">
        <v>72</v>
      </c>
      <c r="B48" s="7" t="s">
        <v>108</v>
      </c>
      <c r="C48" s="7" t="s">
        <v>129</v>
      </c>
      <c r="D48" s="7" t="s">
        <v>130</v>
      </c>
      <c r="E48" s="7" t="s">
        <v>40</v>
      </c>
    </row>
    <row r="49" spans="1:5" ht="18.75" customHeight="1" x14ac:dyDescent="0.35">
      <c r="A49" s="6" t="s">
        <v>75</v>
      </c>
      <c r="B49" s="7" t="s">
        <v>108</v>
      </c>
      <c r="C49" s="7" t="s">
        <v>131</v>
      </c>
      <c r="D49" s="7" t="s">
        <v>79</v>
      </c>
      <c r="E49" s="7" t="s">
        <v>84</v>
      </c>
    </row>
    <row r="50" spans="1:5" ht="18.75" customHeight="1" x14ac:dyDescent="0.35">
      <c r="A50" s="6" t="s">
        <v>77</v>
      </c>
      <c r="B50" s="7" t="s">
        <v>108</v>
      </c>
      <c r="C50" s="7" t="s">
        <v>132</v>
      </c>
      <c r="D50" s="7" t="s">
        <v>79</v>
      </c>
      <c r="E50" s="7" t="s">
        <v>84</v>
      </c>
    </row>
    <row r="51" spans="1:5" ht="15" customHeight="1" x14ac:dyDescent="0.35">
      <c r="A51" s="6" t="s">
        <v>80</v>
      </c>
      <c r="B51" s="7" t="s">
        <v>108</v>
      </c>
      <c r="C51" s="7" t="s">
        <v>133</v>
      </c>
      <c r="D51" s="7" t="s">
        <v>89</v>
      </c>
      <c r="E51" s="7" t="s">
        <v>68</v>
      </c>
    </row>
    <row r="52" spans="1:5" ht="15" customHeight="1" x14ac:dyDescent="0.35">
      <c r="A52" s="6" t="s">
        <v>82</v>
      </c>
      <c r="B52" s="7" t="s">
        <v>108</v>
      </c>
      <c r="C52" s="7" t="s">
        <v>134</v>
      </c>
      <c r="D52" s="7" t="s">
        <v>89</v>
      </c>
      <c r="E52" s="7" t="s">
        <v>68</v>
      </c>
    </row>
    <row r="53" spans="1:5" ht="18.75" customHeight="1" x14ac:dyDescent="0.35">
      <c r="A53" s="6" t="s">
        <v>85</v>
      </c>
      <c r="B53" s="7" t="s">
        <v>108</v>
      </c>
      <c r="C53" s="7" t="s">
        <v>135</v>
      </c>
      <c r="D53" s="7" t="s">
        <v>136</v>
      </c>
      <c r="E53" s="7" t="s">
        <v>40</v>
      </c>
    </row>
    <row r="54" spans="1:5" ht="15" customHeight="1" x14ac:dyDescent="0.35">
      <c r="A54" s="6" t="s">
        <v>87</v>
      </c>
      <c r="B54" s="7" t="s">
        <v>108</v>
      </c>
      <c r="C54" s="7" t="s">
        <v>137</v>
      </c>
      <c r="D54" s="7" t="s">
        <v>138</v>
      </c>
      <c r="E54" s="7" t="s">
        <v>36</v>
      </c>
    </row>
    <row r="55" spans="1:5" ht="15" customHeight="1" x14ac:dyDescent="0.35">
      <c r="A55" s="6" t="s">
        <v>90</v>
      </c>
      <c r="B55" s="7" t="s">
        <v>108</v>
      </c>
      <c r="C55" s="7" t="s">
        <v>139</v>
      </c>
      <c r="D55" s="7" t="s">
        <v>54</v>
      </c>
      <c r="E55" s="7" t="s">
        <v>40</v>
      </c>
    </row>
    <row r="56" spans="1:5" ht="15" customHeight="1" x14ac:dyDescent="0.35">
      <c r="A56" s="6" t="s">
        <v>92</v>
      </c>
      <c r="B56" s="7" t="s">
        <v>108</v>
      </c>
      <c r="C56" s="7" t="s">
        <v>140</v>
      </c>
      <c r="D56" s="7" t="s">
        <v>141</v>
      </c>
      <c r="E56" s="7" t="s">
        <v>40</v>
      </c>
    </row>
    <row r="57" spans="1:5" ht="15" customHeight="1" x14ac:dyDescent="0.35">
      <c r="A57" s="6" t="s">
        <v>95</v>
      </c>
      <c r="B57" s="7" t="s">
        <v>108</v>
      </c>
      <c r="C57" s="7" t="s">
        <v>142</v>
      </c>
      <c r="D57" s="7" t="s">
        <v>43</v>
      </c>
      <c r="E57" s="7" t="s">
        <v>29</v>
      </c>
    </row>
    <row r="58" spans="1:5" ht="15" customHeight="1" x14ac:dyDescent="0.35">
      <c r="A58" s="6" t="s">
        <v>98</v>
      </c>
      <c r="B58" s="7" t="s">
        <v>108</v>
      </c>
      <c r="C58" s="7" t="s">
        <v>143</v>
      </c>
      <c r="D58" s="7" t="s">
        <v>39</v>
      </c>
      <c r="E58" s="7" t="s">
        <v>29</v>
      </c>
    </row>
    <row r="59" spans="1:5" ht="15" customHeight="1" x14ac:dyDescent="0.35">
      <c r="A59" s="6" t="s">
        <v>100</v>
      </c>
      <c r="B59" s="7" t="s">
        <v>108</v>
      </c>
      <c r="C59" s="7" t="s">
        <v>144</v>
      </c>
      <c r="D59" s="7" t="s">
        <v>43</v>
      </c>
      <c r="E59" s="7" t="s">
        <v>29</v>
      </c>
    </row>
    <row r="60" spans="1:5" ht="18.75" customHeight="1" x14ac:dyDescent="0.35">
      <c r="A60" s="6" t="s">
        <v>25</v>
      </c>
      <c r="B60" s="7" t="s">
        <v>145</v>
      </c>
      <c r="C60" s="7" t="s">
        <v>146</v>
      </c>
      <c r="D60" s="7" t="s">
        <v>147</v>
      </c>
      <c r="E60" s="7" t="s">
        <v>40</v>
      </c>
    </row>
    <row r="61" spans="1:5" ht="15" customHeight="1" x14ac:dyDescent="0.35">
      <c r="A61" s="6" t="s">
        <v>30</v>
      </c>
      <c r="B61" s="7" t="s">
        <v>145</v>
      </c>
      <c r="C61" s="7" t="s">
        <v>148</v>
      </c>
      <c r="D61" s="7" t="s">
        <v>39</v>
      </c>
      <c r="E61" s="7" t="s">
        <v>29</v>
      </c>
    </row>
    <row r="62" spans="1:5" ht="15" customHeight="1" x14ac:dyDescent="0.35">
      <c r="A62" s="6" t="s">
        <v>33</v>
      </c>
      <c r="B62" s="7" t="s">
        <v>145</v>
      </c>
      <c r="C62" s="7" t="s">
        <v>149</v>
      </c>
      <c r="D62" s="7" t="s">
        <v>89</v>
      </c>
      <c r="E62" s="7" t="s">
        <v>68</v>
      </c>
    </row>
    <row r="63" spans="1:5" ht="15" customHeight="1" x14ac:dyDescent="0.35">
      <c r="A63" s="6" t="s">
        <v>37</v>
      </c>
      <c r="B63" s="7" t="s">
        <v>145</v>
      </c>
      <c r="C63" s="7" t="s">
        <v>150</v>
      </c>
      <c r="D63" s="7" t="s">
        <v>43</v>
      </c>
      <c r="E63" s="7" t="s">
        <v>40</v>
      </c>
    </row>
    <row r="64" spans="1:5" ht="15" customHeight="1" x14ac:dyDescent="0.35">
      <c r="A64" s="6" t="s">
        <v>41</v>
      </c>
      <c r="B64" s="7" t="s">
        <v>145</v>
      </c>
      <c r="C64" s="7" t="s">
        <v>151</v>
      </c>
      <c r="D64" s="7" t="s">
        <v>141</v>
      </c>
      <c r="E64" s="7" t="s">
        <v>40</v>
      </c>
    </row>
    <row r="65" spans="1:5" ht="15" customHeight="1" x14ac:dyDescent="0.35">
      <c r="A65" s="6" t="s">
        <v>44</v>
      </c>
      <c r="B65" s="7" t="s">
        <v>145</v>
      </c>
      <c r="C65" s="7" t="s">
        <v>152</v>
      </c>
      <c r="D65" s="7" t="s">
        <v>153</v>
      </c>
      <c r="E65" s="7" t="s">
        <v>29</v>
      </c>
    </row>
    <row r="66" spans="1:5" ht="15" customHeight="1" x14ac:dyDescent="0.35">
      <c r="A66" s="6" t="s">
        <v>46</v>
      </c>
      <c r="B66" s="7" t="s">
        <v>145</v>
      </c>
      <c r="C66" s="7" t="s">
        <v>154</v>
      </c>
      <c r="D66" s="7" t="s">
        <v>39</v>
      </c>
      <c r="E66" s="7" t="s">
        <v>29</v>
      </c>
    </row>
    <row r="67" spans="1:5" ht="18.75" customHeight="1" x14ac:dyDescent="0.35">
      <c r="A67" s="6" t="s">
        <v>48</v>
      </c>
      <c r="B67" s="7" t="s">
        <v>145</v>
      </c>
      <c r="C67" s="7" t="s">
        <v>155</v>
      </c>
      <c r="D67" s="7" t="s">
        <v>39</v>
      </c>
      <c r="E67" s="7" t="s">
        <v>29</v>
      </c>
    </row>
    <row r="68" spans="1:5" ht="15" customHeight="1" x14ac:dyDescent="0.35">
      <c r="A68" s="6" t="s">
        <v>50</v>
      </c>
      <c r="B68" s="7" t="s">
        <v>145</v>
      </c>
      <c r="C68" s="7" t="s">
        <v>156</v>
      </c>
      <c r="D68" s="7" t="s">
        <v>39</v>
      </c>
      <c r="E68" s="7" t="s">
        <v>29</v>
      </c>
    </row>
    <row r="69" spans="1:5" ht="15" customHeight="1" x14ac:dyDescent="0.35">
      <c r="A69" s="6" t="s">
        <v>52</v>
      </c>
      <c r="B69" s="7" t="s">
        <v>145</v>
      </c>
      <c r="C69" s="7" t="s">
        <v>157</v>
      </c>
      <c r="D69" s="7" t="s">
        <v>39</v>
      </c>
      <c r="E69" s="7" t="s">
        <v>29</v>
      </c>
    </row>
    <row r="70" spans="1:5" ht="15" customHeight="1" x14ac:dyDescent="0.35">
      <c r="A70" s="6" t="s">
        <v>55</v>
      </c>
      <c r="B70" s="7" t="s">
        <v>145</v>
      </c>
      <c r="C70" s="7" t="s">
        <v>158</v>
      </c>
      <c r="D70" s="7" t="s">
        <v>43</v>
      </c>
      <c r="E70" s="7" t="s">
        <v>40</v>
      </c>
    </row>
    <row r="71" spans="1:5" ht="15" customHeight="1" x14ac:dyDescent="0.35">
      <c r="A71" s="6" t="s">
        <v>58</v>
      </c>
      <c r="B71" s="7" t="s">
        <v>145</v>
      </c>
      <c r="C71" s="7" t="s">
        <v>159</v>
      </c>
      <c r="D71" s="7" t="s">
        <v>43</v>
      </c>
      <c r="E71" s="7" t="s">
        <v>40</v>
      </c>
    </row>
    <row r="72" spans="1:5" ht="15" customHeight="1" x14ac:dyDescent="0.35">
      <c r="A72" s="6" t="s">
        <v>125</v>
      </c>
      <c r="B72" s="7" t="s">
        <v>145</v>
      </c>
      <c r="C72" s="7" t="s">
        <v>160</v>
      </c>
      <c r="D72" s="7" t="s">
        <v>43</v>
      </c>
      <c r="E72" s="7" t="s">
        <v>40</v>
      </c>
    </row>
    <row r="73" spans="1:5" ht="18.75" customHeight="1" x14ac:dyDescent="0.35">
      <c r="A73" s="6" t="s">
        <v>65</v>
      </c>
      <c r="B73" s="7" t="s">
        <v>145</v>
      </c>
      <c r="C73" s="7" t="s">
        <v>161</v>
      </c>
      <c r="D73" s="7" t="s">
        <v>39</v>
      </c>
      <c r="E73" s="7" t="s">
        <v>40</v>
      </c>
    </row>
    <row r="74" spans="1:5" ht="18.75" customHeight="1" x14ac:dyDescent="0.35">
      <c r="A74" s="6" t="s">
        <v>69</v>
      </c>
      <c r="B74" s="7" t="s">
        <v>145</v>
      </c>
      <c r="C74" s="7" t="s">
        <v>162</v>
      </c>
      <c r="D74" s="7" t="s">
        <v>43</v>
      </c>
      <c r="E74" s="7" t="s">
        <v>29</v>
      </c>
    </row>
    <row r="75" spans="1:5" ht="15" customHeight="1" x14ac:dyDescent="0.35">
      <c r="A75" s="6" t="s">
        <v>30</v>
      </c>
      <c r="B75" s="7" t="s">
        <v>163</v>
      </c>
      <c r="C75" s="7" t="s">
        <v>164</v>
      </c>
      <c r="D75" s="7" t="s">
        <v>79</v>
      </c>
      <c r="E75" s="7" t="s">
        <v>84</v>
      </c>
    </row>
    <row r="76" spans="1:5" ht="18.75" customHeight="1" x14ac:dyDescent="0.35">
      <c r="A76" s="6" t="s">
        <v>41</v>
      </c>
      <c r="B76" s="7" t="s">
        <v>163</v>
      </c>
      <c r="C76" s="7" t="s">
        <v>165</v>
      </c>
      <c r="D76" s="7" t="s">
        <v>79</v>
      </c>
      <c r="E76" s="7" t="s">
        <v>166</v>
      </c>
    </row>
    <row r="77" spans="1:5" ht="18.75" customHeight="1" x14ac:dyDescent="0.35">
      <c r="A77" s="6" t="s">
        <v>44</v>
      </c>
      <c r="B77" s="7" t="s">
        <v>163</v>
      </c>
      <c r="C77" s="7" t="s">
        <v>167</v>
      </c>
      <c r="D77" s="7" t="s">
        <v>79</v>
      </c>
      <c r="E77" s="7" t="s">
        <v>40</v>
      </c>
    </row>
    <row r="78" spans="1:5" ht="18.75" customHeight="1" x14ac:dyDescent="0.35">
      <c r="A78" s="6" t="s">
        <v>46</v>
      </c>
      <c r="B78" s="7" t="s">
        <v>163</v>
      </c>
      <c r="C78" s="7" t="s">
        <v>168</v>
      </c>
      <c r="D78" s="7" t="s">
        <v>79</v>
      </c>
      <c r="E78" s="7" t="s">
        <v>169</v>
      </c>
    </row>
    <row r="79" spans="1:5" ht="15" customHeight="1" x14ac:dyDescent="0.35">
      <c r="A79" s="6" t="s">
        <v>48</v>
      </c>
      <c r="B79" s="7" t="s">
        <v>163</v>
      </c>
      <c r="C79" s="7" t="s">
        <v>170</v>
      </c>
      <c r="D79" s="7" t="s">
        <v>171</v>
      </c>
      <c r="E79" s="7" t="s">
        <v>40</v>
      </c>
    </row>
    <row r="80" spans="1:5" ht="15" customHeight="1" x14ac:dyDescent="0.35">
      <c r="A80" s="6" t="s">
        <v>50</v>
      </c>
      <c r="B80" s="7" t="s">
        <v>163</v>
      </c>
      <c r="C80" s="7" t="s">
        <v>172</v>
      </c>
      <c r="D80" s="7" t="s">
        <v>171</v>
      </c>
      <c r="E80" s="7" t="s">
        <v>40</v>
      </c>
    </row>
    <row r="81" spans="1:5" ht="15" customHeight="1" x14ac:dyDescent="0.35">
      <c r="A81" s="6" t="s">
        <v>52</v>
      </c>
      <c r="B81" s="7" t="s">
        <v>163</v>
      </c>
      <c r="C81" s="7" t="s">
        <v>173</v>
      </c>
      <c r="D81" s="7" t="s">
        <v>35</v>
      </c>
      <c r="E81" s="7" t="s">
        <v>40</v>
      </c>
    </row>
    <row r="82" spans="1:5" ht="27.75" customHeight="1" x14ac:dyDescent="0.35">
      <c r="A82" s="6" t="s">
        <v>55</v>
      </c>
      <c r="B82" s="7" t="s">
        <v>163</v>
      </c>
      <c r="C82" s="7" t="s">
        <v>174</v>
      </c>
      <c r="D82" s="7" t="s">
        <v>79</v>
      </c>
      <c r="E82" s="7" t="s">
        <v>169</v>
      </c>
    </row>
    <row r="83" spans="1:5" ht="18.75" customHeight="1" x14ac:dyDescent="0.35">
      <c r="A83" s="6" t="s">
        <v>58</v>
      </c>
      <c r="B83" s="7" t="s">
        <v>163</v>
      </c>
      <c r="C83" s="7" t="s">
        <v>175</v>
      </c>
      <c r="D83" s="7" t="s">
        <v>79</v>
      </c>
      <c r="E83" s="7" t="s">
        <v>169</v>
      </c>
    </row>
    <row r="84" spans="1:5" ht="15" customHeight="1" x14ac:dyDescent="0.35">
      <c r="A84" s="6" t="s">
        <v>176</v>
      </c>
      <c r="B84" s="7" t="s">
        <v>163</v>
      </c>
      <c r="C84" s="7" t="s">
        <v>177</v>
      </c>
      <c r="D84" s="7" t="s">
        <v>178</v>
      </c>
      <c r="E84" s="7" t="s">
        <v>178</v>
      </c>
    </row>
    <row r="85" spans="1:5" ht="27.75" customHeight="1" x14ac:dyDescent="0.35">
      <c r="A85" s="6" t="s">
        <v>179</v>
      </c>
      <c r="B85" s="7" t="s">
        <v>180</v>
      </c>
      <c r="C85" s="7" t="s">
        <v>181</v>
      </c>
      <c r="D85" s="7" t="s">
        <v>79</v>
      </c>
      <c r="E85" s="7" t="s">
        <v>182</v>
      </c>
    </row>
    <row r="86" spans="1:5" ht="18.75" customHeight="1" x14ac:dyDescent="0.35">
      <c r="A86" s="6" t="s">
        <v>183</v>
      </c>
      <c r="B86" s="7" t="s">
        <v>180</v>
      </c>
      <c r="C86" s="7" t="s">
        <v>184</v>
      </c>
      <c r="D86" s="7" t="s">
        <v>54</v>
      </c>
      <c r="E86" s="7" t="s">
        <v>185</v>
      </c>
    </row>
    <row r="87" spans="1:5" ht="27.75" customHeight="1" x14ac:dyDescent="0.35">
      <c r="A87" s="6" t="s">
        <v>186</v>
      </c>
      <c r="B87" s="7" t="s">
        <v>187</v>
      </c>
      <c r="C87" s="7" t="s">
        <v>188</v>
      </c>
      <c r="D87" s="7" t="s">
        <v>79</v>
      </c>
      <c r="E87" s="7" t="s">
        <v>169</v>
      </c>
    </row>
    <row r="88" spans="1:5" ht="38.5" customHeight="1" x14ac:dyDescent="0.35">
      <c r="A88" s="6" t="s">
        <v>189</v>
      </c>
      <c r="B88" s="7" t="s">
        <v>187</v>
      </c>
      <c r="C88" s="7" t="s">
        <v>190</v>
      </c>
      <c r="D88" s="7" t="s">
        <v>79</v>
      </c>
      <c r="E88" s="7" t="s">
        <v>191</v>
      </c>
    </row>
    <row r="89" spans="1:5" ht="28" customHeight="1" x14ac:dyDescent="0.35">
      <c r="A89" s="6" t="s">
        <v>192</v>
      </c>
      <c r="B89" s="7" t="s">
        <v>193</v>
      </c>
      <c r="C89" s="7" t="s">
        <v>194</v>
      </c>
      <c r="D89" s="7" t="s">
        <v>79</v>
      </c>
      <c r="E89" s="7" t="s">
        <v>195</v>
      </c>
    </row>
    <row r="90" spans="1:5" ht="23" customHeight="1" x14ac:dyDescent="0.35">
      <c r="A90" s="6" t="s">
        <v>196</v>
      </c>
      <c r="B90" s="7" t="s">
        <v>197</v>
      </c>
      <c r="C90" s="7" t="s">
        <v>198</v>
      </c>
      <c r="D90" s="7" t="s">
        <v>79</v>
      </c>
      <c r="E90" s="7" t="s">
        <v>199</v>
      </c>
    </row>
  </sheetData>
  <autoFilter ref="A1:E90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M124"/>
  <sheetViews>
    <sheetView tabSelected="1" zoomScaleNormal="100" workbookViewId="0">
      <pane ySplit="1" topLeftCell="A107" activePane="bottomLeft" state="frozen"/>
      <selection pane="bottomLeft" activeCell="C124" sqref="C124"/>
    </sheetView>
  </sheetViews>
  <sheetFormatPr defaultColWidth="8.6328125" defaultRowHeight="14.5" x14ac:dyDescent="0.35"/>
  <cols>
    <col min="1" max="1" width="22" customWidth="1"/>
    <col min="2" max="2" width="40" customWidth="1"/>
    <col min="3" max="8" width="8" customWidth="1"/>
    <col min="9" max="10" width="7" customWidth="1"/>
    <col min="11" max="11" width="9" customWidth="1"/>
    <col min="12" max="12" width="8" customWidth="1"/>
    <col min="13" max="13" width="24.36328125" bestFit="1" customWidth="1"/>
  </cols>
  <sheetData>
    <row r="1" spans="1:13" ht="42.75" customHeight="1" x14ac:dyDescent="0.35">
      <c r="A1" s="5" t="s">
        <v>200</v>
      </c>
      <c r="B1" s="5" t="s">
        <v>201</v>
      </c>
      <c r="C1" s="5" t="s">
        <v>202</v>
      </c>
      <c r="D1" s="5" t="s">
        <v>203</v>
      </c>
      <c r="E1" s="5" t="s">
        <v>204</v>
      </c>
      <c r="F1" s="5" t="s">
        <v>205</v>
      </c>
      <c r="G1" s="5" t="s">
        <v>206</v>
      </c>
      <c r="H1" s="5" t="s">
        <v>207</v>
      </c>
      <c r="I1" s="5" t="s">
        <v>208</v>
      </c>
      <c r="J1" s="5" t="s">
        <v>209</v>
      </c>
      <c r="K1" s="5" t="s">
        <v>210</v>
      </c>
      <c r="L1" s="5" t="s">
        <v>211</v>
      </c>
    </row>
    <row r="2" spans="1:13" ht="12" customHeight="1" x14ac:dyDescent="0.35">
      <c r="A2" s="6" t="s">
        <v>212</v>
      </c>
      <c r="B2" s="7" t="s">
        <v>213</v>
      </c>
      <c r="C2" s="8">
        <v>13</v>
      </c>
      <c r="D2" s="8">
        <v>10</v>
      </c>
      <c r="E2" s="8">
        <v>5</v>
      </c>
      <c r="F2" s="8">
        <v>6</v>
      </c>
      <c r="G2" s="8">
        <v>1</v>
      </c>
      <c r="H2" s="8">
        <v>0</v>
      </c>
      <c r="I2" s="8">
        <v>1</v>
      </c>
      <c r="J2" s="8">
        <v>1</v>
      </c>
      <c r="K2" s="8" t="s">
        <v>178</v>
      </c>
      <c r="L2" s="9">
        <f t="shared" ref="L2:L33" si="0">SUM(C2:J2)</f>
        <v>37</v>
      </c>
      <c r="M2" t="s">
        <v>464</v>
      </c>
    </row>
    <row r="3" spans="1:13" ht="12" customHeight="1" x14ac:dyDescent="0.35">
      <c r="A3" s="6" t="s">
        <v>214</v>
      </c>
      <c r="B3" s="7" t="s">
        <v>215</v>
      </c>
      <c r="C3" s="8">
        <v>6</v>
      </c>
      <c r="D3" s="8">
        <v>6</v>
      </c>
      <c r="E3" s="8">
        <v>1</v>
      </c>
      <c r="F3" s="8">
        <v>3</v>
      </c>
      <c r="G3" s="8">
        <v>2</v>
      </c>
      <c r="H3" s="8">
        <v>1</v>
      </c>
      <c r="I3" s="8">
        <v>0</v>
      </c>
      <c r="J3" s="8">
        <v>0</v>
      </c>
      <c r="K3" s="8" t="s">
        <v>178</v>
      </c>
      <c r="L3" s="9">
        <f t="shared" si="0"/>
        <v>19</v>
      </c>
      <c r="M3" t="s">
        <v>464</v>
      </c>
    </row>
    <row r="4" spans="1:13" ht="12" customHeight="1" x14ac:dyDescent="0.35">
      <c r="A4" s="6" t="s">
        <v>216</v>
      </c>
      <c r="B4" s="7" t="s">
        <v>217</v>
      </c>
      <c r="C4" s="8">
        <v>4</v>
      </c>
      <c r="D4" s="8">
        <v>8</v>
      </c>
      <c r="E4" s="8">
        <v>2</v>
      </c>
      <c r="F4" s="8">
        <v>1</v>
      </c>
      <c r="G4" s="8">
        <v>0</v>
      </c>
      <c r="H4" s="8">
        <v>0</v>
      </c>
      <c r="I4" s="8">
        <v>0</v>
      </c>
      <c r="J4" s="8">
        <v>0</v>
      </c>
      <c r="K4" s="8" t="s">
        <v>178</v>
      </c>
      <c r="L4" s="9">
        <f t="shared" si="0"/>
        <v>15</v>
      </c>
      <c r="M4" t="s">
        <v>464</v>
      </c>
    </row>
    <row r="5" spans="1:13" ht="12" customHeight="1" x14ac:dyDescent="0.35">
      <c r="A5" s="6" t="s">
        <v>218</v>
      </c>
      <c r="B5" s="7" t="s">
        <v>219</v>
      </c>
      <c r="C5" s="8">
        <v>6</v>
      </c>
      <c r="D5" s="8">
        <v>5</v>
      </c>
      <c r="E5" s="8">
        <v>0</v>
      </c>
      <c r="F5" s="8">
        <v>2</v>
      </c>
      <c r="G5" s="8">
        <v>0</v>
      </c>
      <c r="H5" s="8">
        <v>0</v>
      </c>
      <c r="I5" s="8">
        <v>0</v>
      </c>
      <c r="J5" s="8">
        <v>1</v>
      </c>
      <c r="K5" s="8" t="s">
        <v>178</v>
      </c>
      <c r="L5" s="9">
        <f t="shared" si="0"/>
        <v>14</v>
      </c>
      <c r="M5" t="s">
        <v>464</v>
      </c>
    </row>
    <row r="6" spans="1:13" ht="12" customHeight="1" x14ac:dyDescent="0.35">
      <c r="A6" s="6" t="s">
        <v>220</v>
      </c>
      <c r="B6" s="7" t="s">
        <v>221</v>
      </c>
      <c r="C6" s="8">
        <v>5</v>
      </c>
      <c r="D6" s="8">
        <v>6</v>
      </c>
      <c r="E6" s="8">
        <v>0</v>
      </c>
      <c r="F6" s="8">
        <v>2</v>
      </c>
      <c r="G6" s="8">
        <v>0</v>
      </c>
      <c r="H6" s="8">
        <v>0</v>
      </c>
      <c r="I6" s="8">
        <v>0</v>
      </c>
      <c r="J6" s="8">
        <v>0</v>
      </c>
      <c r="K6" s="8" t="s">
        <v>178</v>
      </c>
      <c r="L6" s="9">
        <f t="shared" si="0"/>
        <v>13</v>
      </c>
      <c r="M6" t="s">
        <v>464</v>
      </c>
    </row>
    <row r="7" spans="1:13" ht="12" customHeight="1" x14ac:dyDescent="0.35">
      <c r="A7" s="6" t="s">
        <v>222</v>
      </c>
      <c r="B7" s="7" t="s">
        <v>223</v>
      </c>
      <c r="C7" s="8">
        <v>0</v>
      </c>
      <c r="D7" s="8">
        <v>4</v>
      </c>
      <c r="E7" s="8">
        <v>1</v>
      </c>
      <c r="F7" s="8">
        <v>3</v>
      </c>
      <c r="G7" s="8">
        <v>2</v>
      </c>
      <c r="H7" s="8">
        <v>2</v>
      </c>
      <c r="I7" s="8">
        <v>1</v>
      </c>
      <c r="J7" s="8">
        <v>0</v>
      </c>
      <c r="K7" s="8" t="s">
        <v>178</v>
      </c>
      <c r="L7" s="9">
        <f t="shared" si="0"/>
        <v>13</v>
      </c>
    </row>
    <row r="8" spans="1:13" ht="12" customHeight="1" x14ac:dyDescent="0.35">
      <c r="A8" s="6" t="s">
        <v>224</v>
      </c>
      <c r="B8" s="7" t="s">
        <v>225</v>
      </c>
      <c r="C8" s="8">
        <v>6</v>
      </c>
      <c r="D8" s="8">
        <v>0</v>
      </c>
      <c r="E8" s="8">
        <v>0</v>
      </c>
      <c r="F8" s="8">
        <v>2</v>
      </c>
      <c r="G8" s="8">
        <v>0</v>
      </c>
      <c r="H8" s="8">
        <v>0</v>
      </c>
      <c r="I8" s="8">
        <v>0</v>
      </c>
      <c r="J8" s="8">
        <v>0</v>
      </c>
      <c r="K8" s="8" t="s">
        <v>178</v>
      </c>
      <c r="L8" s="10">
        <f t="shared" si="0"/>
        <v>8</v>
      </c>
    </row>
    <row r="9" spans="1:13" ht="12" customHeight="1" x14ac:dyDescent="0.35">
      <c r="A9" s="6" t="s">
        <v>226</v>
      </c>
      <c r="B9" s="7" t="s">
        <v>227</v>
      </c>
      <c r="C9" s="8">
        <v>3</v>
      </c>
      <c r="D9" s="8">
        <v>4</v>
      </c>
      <c r="E9" s="8">
        <v>1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 t="s">
        <v>178</v>
      </c>
      <c r="L9" s="10">
        <f t="shared" si="0"/>
        <v>8</v>
      </c>
    </row>
    <row r="10" spans="1:13" ht="12" customHeight="1" x14ac:dyDescent="0.35">
      <c r="A10" s="6" t="s">
        <v>228</v>
      </c>
      <c r="B10" s="7" t="s">
        <v>229</v>
      </c>
      <c r="C10" s="8">
        <v>1</v>
      </c>
      <c r="D10" s="8">
        <v>3</v>
      </c>
      <c r="E10" s="8">
        <v>0</v>
      </c>
      <c r="F10" s="8">
        <v>4</v>
      </c>
      <c r="G10" s="8">
        <v>0</v>
      </c>
      <c r="H10" s="8">
        <v>0</v>
      </c>
      <c r="I10" s="8">
        <v>0</v>
      </c>
      <c r="J10" s="8">
        <v>0</v>
      </c>
      <c r="K10" s="8" t="s">
        <v>178</v>
      </c>
      <c r="L10" s="10">
        <f t="shared" si="0"/>
        <v>8</v>
      </c>
    </row>
    <row r="11" spans="1:13" ht="12" customHeight="1" x14ac:dyDescent="0.35">
      <c r="A11" s="6" t="s">
        <v>230</v>
      </c>
      <c r="B11" s="7" t="s">
        <v>231</v>
      </c>
      <c r="C11" s="8">
        <v>0</v>
      </c>
      <c r="D11" s="8">
        <v>3</v>
      </c>
      <c r="E11" s="8">
        <v>0</v>
      </c>
      <c r="F11" s="8">
        <v>3</v>
      </c>
      <c r="G11" s="8">
        <v>2</v>
      </c>
      <c r="H11" s="8">
        <v>0</v>
      </c>
      <c r="I11" s="8">
        <v>0</v>
      </c>
      <c r="J11" s="8">
        <v>0</v>
      </c>
      <c r="K11" s="8" t="s">
        <v>178</v>
      </c>
      <c r="L11" s="10">
        <f t="shared" si="0"/>
        <v>8</v>
      </c>
      <c r="M11" t="s">
        <v>464</v>
      </c>
    </row>
    <row r="12" spans="1:13" ht="12" customHeight="1" x14ac:dyDescent="0.35">
      <c r="A12" s="6" t="s">
        <v>232</v>
      </c>
      <c r="B12" s="7" t="s">
        <v>233</v>
      </c>
      <c r="C12" s="8">
        <v>3</v>
      </c>
      <c r="D12" s="8">
        <v>3</v>
      </c>
      <c r="E12" s="8">
        <v>1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 t="s">
        <v>178</v>
      </c>
      <c r="L12" s="10">
        <f t="shared" si="0"/>
        <v>7</v>
      </c>
    </row>
    <row r="13" spans="1:13" ht="12" customHeight="1" x14ac:dyDescent="0.35">
      <c r="A13" s="6" t="s">
        <v>234</v>
      </c>
      <c r="B13" s="7" t="s">
        <v>235</v>
      </c>
      <c r="C13" s="8">
        <v>1</v>
      </c>
      <c r="D13" s="8">
        <v>2</v>
      </c>
      <c r="E13" s="8">
        <v>1</v>
      </c>
      <c r="F13" s="8">
        <v>3</v>
      </c>
      <c r="G13" s="8">
        <v>0</v>
      </c>
      <c r="H13" s="8">
        <v>0</v>
      </c>
      <c r="I13" s="8">
        <v>0</v>
      </c>
      <c r="J13" s="8">
        <v>0</v>
      </c>
      <c r="K13" s="8" t="s">
        <v>178</v>
      </c>
      <c r="L13" s="10">
        <f t="shared" si="0"/>
        <v>7</v>
      </c>
      <c r="M13" t="s">
        <v>464</v>
      </c>
    </row>
    <row r="14" spans="1:13" ht="12" customHeight="1" x14ac:dyDescent="0.35">
      <c r="A14" s="6" t="s">
        <v>236</v>
      </c>
      <c r="B14" s="7" t="s">
        <v>237</v>
      </c>
      <c r="C14" s="8">
        <v>2</v>
      </c>
      <c r="D14" s="8">
        <v>2</v>
      </c>
      <c r="E14" s="8">
        <v>1</v>
      </c>
      <c r="F14" s="8">
        <v>1</v>
      </c>
      <c r="G14" s="8">
        <v>1</v>
      </c>
      <c r="H14" s="8">
        <v>0</v>
      </c>
      <c r="I14" s="8">
        <v>0</v>
      </c>
      <c r="J14" s="8">
        <v>0</v>
      </c>
      <c r="K14" s="8" t="s">
        <v>178</v>
      </c>
      <c r="L14" s="10">
        <f t="shared" si="0"/>
        <v>7</v>
      </c>
    </row>
    <row r="15" spans="1:13" ht="12" customHeight="1" x14ac:dyDescent="0.35">
      <c r="A15" s="6" t="s">
        <v>238</v>
      </c>
      <c r="B15" s="7" t="s">
        <v>239</v>
      </c>
      <c r="C15" s="8">
        <v>1</v>
      </c>
      <c r="D15" s="8">
        <v>4</v>
      </c>
      <c r="E15" s="8">
        <v>0</v>
      </c>
      <c r="F15" s="8">
        <v>1</v>
      </c>
      <c r="G15" s="8">
        <v>0</v>
      </c>
      <c r="H15" s="8">
        <v>1</v>
      </c>
      <c r="I15" s="8">
        <v>0</v>
      </c>
      <c r="J15" s="8">
        <v>0</v>
      </c>
      <c r="K15" s="8" t="s">
        <v>178</v>
      </c>
      <c r="L15" s="10">
        <f t="shared" si="0"/>
        <v>7</v>
      </c>
    </row>
    <row r="16" spans="1:13" ht="12" customHeight="1" x14ac:dyDescent="0.35">
      <c r="A16" s="6" t="s">
        <v>240</v>
      </c>
      <c r="B16" s="7" t="s">
        <v>241</v>
      </c>
      <c r="C16" s="8">
        <v>2</v>
      </c>
      <c r="D16" s="8">
        <v>2</v>
      </c>
      <c r="E16" s="8">
        <v>0</v>
      </c>
      <c r="F16" s="8">
        <v>0</v>
      </c>
      <c r="G16" s="8">
        <v>0</v>
      </c>
      <c r="H16" s="8">
        <v>0</v>
      </c>
      <c r="I16" s="8">
        <v>1</v>
      </c>
      <c r="J16" s="8">
        <v>1</v>
      </c>
      <c r="K16" s="8" t="s">
        <v>178</v>
      </c>
      <c r="L16" s="10">
        <f t="shared" si="0"/>
        <v>6</v>
      </c>
    </row>
    <row r="17" spans="1:13" ht="12" customHeight="1" x14ac:dyDescent="0.35">
      <c r="A17" s="6" t="s">
        <v>242</v>
      </c>
      <c r="B17" s="7" t="s">
        <v>243</v>
      </c>
      <c r="C17" s="8">
        <v>0</v>
      </c>
      <c r="D17" s="8">
        <v>0</v>
      </c>
      <c r="E17" s="8">
        <v>0</v>
      </c>
      <c r="F17" s="8">
        <v>6</v>
      </c>
      <c r="G17" s="8">
        <v>0</v>
      </c>
      <c r="H17" s="8">
        <v>0</v>
      </c>
      <c r="I17" s="8">
        <v>0</v>
      </c>
      <c r="J17" s="8">
        <v>0</v>
      </c>
      <c r="K17" s="8" t="s">
        <v>178</v>
      </c>
      <c r="L17" s="10">
        <f>SUM(C17:J17)</f>
        <v>6</v>
      </c>
      <c r="M17" t="s">
        <v>464</v>
      </c>
    </row>
    <row r="18" spans="1:13" ht="12" customHeight="1" x14ac:dyDescent="0.35">
      <c r="A18" s="6" t="s">
        <v>244</v>
      </c>
      <c r="B18" s="7" t="s">
        <v>245</v>
      </c>
      <c r="C18" s="8">
        <v>1</v>
      </c>
      <c r="D18" s="8">
        <v>2</v>
      </c>
      <c r="E18" s="8">
        <v>0</v>
      </c>
      <c r="F18" s="8">
        <v>0</v>
      </c>
      <c r="G18" s="8">
        <v>0</v>
      </c>
      <c r="H18" s="8">
        <v>2</v>
      </c>
      <c r="I18" s="8">
        <v>0</v>
      </c>
      <c r="J18" s="8">
        <v>0</v>
      </c>
      <c r="K18" s="8" t="s">
        <v>178</v>
      </c>
      <c r="L18" s="10">
        <f t="shared" si="0"/>
        <v>5</v>
      </c>
    </row>
    <row r="19" spans="1:13" ht="12" customHeight="1" x14ac:dyDescent="0.35">
      <c r="A19" s="6" t="s">
        <v>246</v>
      </c>
      <c r="B19" s="7" t="s">
        <v>247</v>
      </c>
      <c r="C19" s="8">
        <v>2</v>
      </c>
      <c r="D19" s="8">
        <v>0</v>
      </c>
      <c r="E19" s="8">
        <v>0</v>
      </c>
      <c r="F19" s="8">
        <v>1</v>
      </c>
      <c r="G19" s="8">
        <v>0</v>
      </c>
      <c r="H19" s="8">
        <v>1</v>
      </c>
      <c r="I19" s="8">
        <v>0</v>
      </c>
      <c r="J19" s="8">
        <v>1</v>
      </c>
      <c r="K19" s="8" t="s">
        <v>178</v>
      </c>
      <c r="L19" s="10">
        <f t="shared" si="0"/>
        <v>5</v>
      </c>
    </row>
    <row r="20" spans="1:13" ht="12" customHeight="1" x14ac:dyDescent="0.35">
      <c r="A20" s="6" t="s">
        <v>248</v>
      </c>
      <c r="B20" s="7" t="s">
        <v>249</v>
      </c>
      <c r="C20" s="8">
        <v>3</v>
      </c>
      <c r="D20" s="8">
        <v>0</v>
      </c>
      <c r="E20" s="8">
        <v>1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 t="s">
        <v>178</v>
      </c>
      <c r="L20" s="10">
        <f t="shared" si="0"/>
        <v>4</v>
      </c>
    </row>
    <row r="21" spans="1:13" ht="12" customHeight="1" x14ac:dyDescent="0.35">
      <c r="A21" s="6" t="s">
        <v>250</v>
      </c>
      <c r="B21" s="7" t="s">
        <v>251</v>
      </c>
      <c r="C21" s="8">
        <v>2</v>
      </c>
      <c r="D21" s="8">
        <v>1</v>
      </c>
      <c r="E21" s="8">
        <v>1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 t="s">
        <v>178</v>
      </c>
      <c r="L21" s="10">
        <f t="shared" si="0"/>
        <v>4</v>
      </c>
    </row>
    <row r="22" spans="1:13" ht="12" customHeight="1" x14ac:dyDescent="0.35">
      <c r="A22" s="6" t="s">
        <v>252</v>
      </c>
      <c r="B22" s="7" t="s">
        <v>253</v>
      </c>
      <c r="C22" s="8">
        <v>2</v>
      </c>
      <c r="D22" s="8">
        <v>2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 t="s">
        <v>178</v>
      </c>
      <c r="L22" s="10">
        <f t="shared" si="0"/>
        <v>4</v>
      </c>
    </row>
    <row r="23" spans="1:13" ht="12" customHeight="1" x14ac:dyDescent="0.35">
      <c r="A23" s="6" t="s">
        <v>254</v>
      </c>
      <c r="B23" s="7" t="s">
        <v>255</v>
      </c>
      <c r="C23" s="8">
        <v>3</v>
      </c>
      <c r="D23" s="8">
        <v>1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 t="s">
        <v>178</v>
      </c>
      <c r="L23" s="10">
        <f t="shared" si="0"/>
        <v>4</v>
      </c>
    </row>
    <row r="24" spans="1:13" ht="12" customHeight="1" x14ac:dyDescent="0.35">
      <c r="A24" s="6" t="s">
        <v>256</v>
      </c>
      <c r="B24" s="7" t="s">
        <v>257</v>
      </c>
      <c r="C24" s="8">
        <v>1</v>
      </c>
      <c r="D24" s="8">
        <v>1</v>
      </c>
      <c r="E24" s="8">
        <v>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 t="s">
        <v>178</v>
      </c>
      <c r="L24" s="10">
        <f t="shared" si="0"/>
        <v>4</v>
      </c>
    </row>
    <row r="25" spans="1:13" ht="12" customHeight="1" x14ac:dyDescent="0.35">
      <c r="A25" s="6" t="s">
        <v>258</v>
      </c>
      <c r="B25" s="7" t="s">
        <v>259</v>
      </c>
      <c r="C25" s="8">
        <v>2</v>
      </c>
      <c r="D25" s="8">
        <v>0</v>
      </c>
      <c r="E25" s="8">
        <v>0</v>
      </c>
      <c r="F25" s="8">
        <v>2</v>
      </c>
      <c r="G25" s="8">
        <v>0</v>
      </c>
      <c r="H25" s="8">
        <v>0</v>
      </c>
      <c r="I25" s="8">
        <v>0</v>
      </c>
      <c r="J25" s="8">
        <v>0</v>
      </c>
      <c r="K25" s="8" t="s">
        <v>178</v>
      </c>
      <c r="L25" s="10">
        <f t="shared" si="0"/>
        <v>4</v>
      </c>
    </row>
    <row r="26" spans="1:13" ht="12" customHeight="1" x14ac:dyDescent="0.35">
      <c r="A26" s="6" t="s">
        <v>260</v>
      </c>
      <c r="B26" s="7" t="s">
        <v>261</v>
      </c>
      <c r="C26" s="8">
        <v>0</v>
      </c>
      <c r="D26" s="8">
        <v>2</v>
      </c>
      <c r="E26" s="8">
        <v>0</v>
      </c>
      <c r="F26" s="8">
        <v>2</v>
      </c>
      <c r="G26" s="8">
        <v>0</v>
      </c>
      <c r="H26" s="8">
        <v>0</v>
      </c>
      <c r="I26" s="8">
        <v>0</v>
      </c>
      <c r="J26" s="8">
        <v>0</v>
      </c>
      <c r="K26" s="8" t="s">
        <v>178</v>
      </c>
      <c r="L26" s="10">
        <f t="shared" si="0"/>
        <v>4</v>
      </c>
    </row>
    <row r="27" spans="1:13" ht="12" customHeight="1" x14ac:dyDescent="0.35">
      <c r="A27" s="6" t="s">
        <v>262</v>
      </c>
      <c r="B27" s="7" t="s">
        <v>263</v>
      </c>
      <c r="C27" s="8">
        <v>0</v>
      </c>
      <c r="D27" s="8">
        <v>0</v>
      </c>
      <c r="E27" s="8">
        <v>0</v>
      </c>
      <c r="F27" s="8">
        <v>1</v>
      </c>
      <c r="G27" s="8">
        <v>1</v>
      </c>
      <c r="H27" s="8">
        <v>0</v>
      </c>
      <c r="I27" s="8">
        <v>1</v>
      </c>
      <c r="J27" s="8">
        <v>1</v>
      </c>
      <c r="K27" s="8" t="s">
        <v>178</v>
      </c>
      <c r="L27" s="10">
        <f t="shared" si="0"/>
        <v>4</v>
      </c>
    </row>
    <row r="28" spans="1:13" ht="12" customHeight="1" x14ac:dyDescent="0.35">
      <c r="A28" s="6" t="s">
        <v>264</v>
      </c>
      <c r="B28" s="7" t="s">
        <v>265</v>
      </c>
      <c r="C28" s="8">
        <v>1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1</v>
      </c>
      <c r="J28" s="8">
        <v>1</v>
      </c>
      <c r="K28" s="8" t="s">
        <v>178</v>
      </c>
      <c r="L28" s="11">
        <f t="shared" si="0"/>
        <v>3</v>
      </c>
    </row>
    <row r="29" spans="1:13" ht="12" customHeight="1" x14ac:dyDescent="0.35">
      <c r="A29" s="6" t="s">
        <v>266</v>
      </c>
      <c r="B29" s="7" t="s">
        <v>267</v>
      </c>
      <c r="C29" s="8">
        <v>1</v>
      </c>
      <c r="D29" s="8">
        <v>1</v>
      </c>
      <c r="E29" s="8">
        <v>0</v>
      </c>
      <c r="F29" s="8">
        <v>1</v>
      </c>
      <c r="G29" s="8">
        <v>0</v>
      </c>
      <c r="H29" s="8">
        <v>0</v>
      </c>
      <c r="I29" s="8">
        <v>0</v>
      </c>
      <c r="J29" s="8">
        <v>0</v>
      </c>
      <c r="K29" s="8" t="s">
        <v>178</v>
      </c>
      <c r="L29" s="11">
        <f t="shared" si="0"/>
        <v>3</v>
      </c>
    </row>
    <row r="30" spans="1:13" ht="12" customHeight="1" x14ac:dyDescent="0.35">
      <c r="A30" s="6" t="s">
        <v>268</v>
      </c>
      <c r="B30" s="7" t="s">
        <v>269</v>
      </c>
      <c r="C30" s="8">
        <v>1</v>
      </c>
      <c r="D30" s="8">
        <v>1</v>
      </c>
      <c r="E30" s="8">
        <v>0</v>
      </c>
      <c r="F30" s="8">
        <v>1</v>
      </c>
      <c r="G30" s="8">
        <v>0</v>
      </c>
      <c r="H30" s="8">
        <v>0</v>
      </c>
      <c r="I30" s="8">
        <v>0</v>
      </c>
      <c r="J30" s="8">
        <v>0</v>
      </c>
      <c r="K30" s="8" t="s">
        <v>178</v>
      </c>
      <c r="L30" s="11">
        <f t="shared" si="0"/>
        <v>3</v>
      </c>
    </row>
    <row r="31" spans="1:13" ht="12" customHeight="1" x14ac:dyDescent="0.35">
      <c r="A31" s="6" t="s">
        <v>270</v>
      </c>
      <c r="B31" s="7" t="s">
        <v>271</v>
      </c>
      <c r="C31" s="8">
        <v>3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 t="s">
        <v>178</v>
      </c>
      <c r="L31" s="11">
        <f t="shared" si="0"/>
        <v>3</v>
      </c>
    </row>
    <row r="32" spans="1:13" ht="12" customHeight="1" x14ac:dyDescent="0.35">
      <c r="A32" s="6" t="s">
        <v>272</v>
      </c>
      <c r="B32" s="7" t="s">
        <v>273</v>
      </c>
      <c r="C32" s="8">
        <v>1</v>
      </c>
      <c r="D32" s="8">
        <v>2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 t="s">
        <v>178</v>
      </c>
      <c r="L32" s="11">
        <f t="shared" si="0"/>
        <v>3</v>
      </c>
    </row>
    <row r="33" spans="1:12" ht="12" customHeight="1" x14ac:dyDescent="0.35">
      <c r="A33" s="6" t="s">
        <v>274</v>
      </c>
      <c r="B33" s="7" t="s">
        <v>275</v>
      </c>
      <c r="C33" s="8">
        <v>3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 t="s">
        <v>178</v>
      </c>
      <c r="L33" s="11">
        <f t="shared" si="0"/>
        <v>3</v>
      </c>
    </row>
    <row r="34" spans="1:12" ht="12" customHeight="1" x14ac:dyDescent="0.35">
      <c r="A34" s="6" t="s">
        <v>276</v>
      </c>
      <c r="B34" s="7" t="s">
        <v>277</v>
      </c>
      <c r="C34" s="8">
        <v>3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 t="s">
        <v>178</v>
      </c>
      <c r="L34" s="11">
        <f t="shared" ref="L34:L65" si="1">SUM(C34:J34)</f>
        <v>3</v>
      </c>
    </row>
    <row r="35" spans="1:12" ht="12" customHeight="1" x14ac:dyDescent="0.35">
      <c r="A35" s="6" t="s">
        <v>278</v>
      </c>
      <c r="B35" s="7" t="s">
        <v>279</v>
      </c>
      <c r="C35" s="8">
        <v>3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 t="s">
        <v>178</v>
      </c>
      <c r="L35" s="11">
        <f t="shared" si="1"/>
        <v>3</v>
      </c>
    </row>
    <row r="36" spans="1:12" ht="12" customHeight="1" x14ac:dyDescent="0.35">
      <c r="A36" s="6" t="s">
        <v>280</v>
      </c>
      <c r="B36" s="7" t="s">
        <v>281</v>
      </c>
      <c r="C36" s="8">
        <v>3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 t="s">
        <v>178</v>
      </c>
      <c r="L36" s="11">
        <f t="shared" si="1"/>
        <v>3</v>
      </c>
    </row>
    <row r="37" spans="1:12" ht="12" customHeight="1" x14ac:dyDescent="0.35">
      <c r="A37" s="6" t="s">
        <v>282</v>
      </c>
      <c r="B37" s="7" t="s">
        <v>283</v>
      </c>
      <c r="C37" s="8">
        <v>3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 t="s">
        <v>178</v>
      </c>
      <c r="L37" s="11">
        <f t="shared" si="1"/>
        <v>3</v>
      </c>
    </row>
    <row r="38" spans="1:12" ht="12" customHeight="1" x14ac:dyDescent="0.35">
      <c r="A38" s="6" t="s">
        <v>284</v>
      </c>
      <c r="B38" s="7" t="s">
        <v>285</v>
      </c>
      <c r="C38" s="8">
        <v>1</v>
      </c>
      <c r="D38" s="8">
        <v>0</v>
      </c>
      <c r="E38" s="8">
        <v>2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 t="s">
        <v>178</v>
      </c>
      <c r="L38" s="11">
        <f t="shared" si="1"/>
        <v>3</v>
      </c>
    </row>
    <row r="39" spans="1:12" ht="12" customHeight="1" x14ac:dyDescent="0.35">
      <c r="A39" s="6" t="s">
        <v>286</v>
      </c>
      <c r="B39" s="7" t="s">
        <v>287</v>
      </c>
      <c r="C39" s="8">
        <v>0</v>
      </c>
      <c r="D39" s="8">
        <v>2</v>
      </c>
      <c r="E39" s="8">
        <v>0</v>
      </c>
      <c r="F39" s="8">
        <v>1</v>
      </c>
      <c r="G39" s="8">
        <v>0</v>
      </c>
      <c r="H39" s="8">
        <v>0</v>
      </c>
      <c r="I39" s="8">
        <v>0</v>
      </c>
      <c r="J39" s="8">
        <v>0</v>
      </c>
      <c r="K39" s="8" t="s">
        <v>178</v>
      </c>
      <c r="L39" s="11">
        <f t="shared" si="1"/>
        <v>3</v>
      </c>
    </row>
    <row r="40" spans="1:12" ht="12" customHeight="1" x14ac:dyDescent="0.35">
      <c r="A40" s="6" t="s">
        <v>288</v>
      </c>
      <c r="B40" s="7" t="s">
        <v>289</v>
      </c>
      <c r="C40" s="8">
        <v>0</v>
      </c>
      <c r="D40" s="8">
        <v>2</v>
      </c>
      <c r="E40" s="8">
        <v>0</v>
      </c>
      <c r="F40" s="8">
        <v>1</v>
      </c>
      <c r="G40" s="8">
        <v>0</v>
      </c>
      <c r="H40" s="8">
        <v>0</v>
      </c>
      <c r="I40" s="8">
        <v>0</v>
      </c>
      <c r="J40" s="8">
        <v>0</v>
      </c>
      <c r="K40" s="8" t="s">
        <v>178</v>
      </c>
      <c r="L40" s="11">
        <f t="shared" si="1"/>
        <v>3</v>
      </c>
    </row>
    <row r="41" spans="1:12" ht="12" customHeight="1" x14ac:dyDescent="0.35">
      <c r="A41" s="6" t="s">
        <v>290</v>
      </c>
      <c r="B41" s="7" t="s">
        <v>291</v>
      </c>
      <c r="C41" s="8">
        <v>0</v>
      </c>
      <c r="D41" s="8">
        <v>0</v>
      </c>
      <c r="E41" s="8">
        <v>1</v>
      </c>
      <c r="F41" s="8">
        <v>2</v>
      </c>
      <c r="G41" s="8">
        <v>0</v>
      </c>
      <c r="H41" s="8">
        <v>0</v>
      </c>
      <c r="I41" s="8">
        <v>0</v>
      </c>
      <c r="J41" s="8">
        <v>0</v>
      </c>
      <c r="K41" s="8" t="s">
        <v>178</v>
      </c>
      <c r="L41" s="11">
        <f t="shared" si="1"/>
        <v>3</v>
      </c>
    </row>
    <row r="42" spans="1:12" ht="12" customHeight="1" x14ac:dyDescent="0.35">
      <c r="A42" s="6" t="s">
        <v>292</v>
      </c>
      <c r="B42" s="7" t="s">
        <v>293</v>
      </c>
      <c r="C42" s="8">
        <v>0</v>
      </c>
      <c r="D42" s="8">
        <v>0</v>
      </c>
      <c r="E42" s="8">
        <v>0</v>
      </c>
      <c r="F42" s="8">
        <v>0</v>
      </c>
      <c r="G42" s="8">
        <v>2</v>
      </c>
      <c r="H42" s="8">
        <v>0</v>
      </c>
      <c r="I42" s="8">
        <v>1</v>
      </c>
      <c r="J42" s="8">
        <v>0</v>
      </c>
      <c r="K42" s="8" t="s">
        <v>178</v>
      </c>
      <c r="L42" s="11">
        <f t="shared" si="1"/>
        <v>3</v>
      </c>
    </row>
    <row r="43" spans="1:12" ht="12" customHeight="1" x14ac:dyDescent="0.35">
      <c r="A43" s="6" t="s">
        <v>294</v>
      </c>
      <c r="B43" s="7" t="s">
        <v>295</v>
      </c>
      <c r="C43" s="8">
        <v>2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 t="s">
        <v>178</v>
      </c>
      <c r="L43" s="11">
        <f t="shared" si="1"/>
        <v>2</v>
      </c>
    </row>
    <row r="44" spans="1:12" ht="12" customHeight="1" x14ac:dyDescent="0.35">
      <c r="A44" s="6" t="s">
        <v>296</v>
      </c>
      <c r="B44" s="7" t="s">
        <v>297</v>
      </c>
      <c r="C44" s="8">
        <v>1</v>
      </c>
      <c r="D44" s="8">
        <v>0</v>
      </c>
      <c r="E44" s="8">
        <v>0</v>
      </c>
      <c r="F44" s="8">
        <v>1</v>
      </c>
      <c r="G44" s="8">
        <v>0</v>
      </c>
      <c r="H44" s="8">
        <v>0</v>
      </c>
      <c r="I44" s="8">
        <v>0</v>
      </c>
      <c r="J44" s="8">
        <v>0</v>
      </c>
      <c r="K44" s="8" t="s">
        <v>178</v>
      </c>
      <c r="L44" s="11">
        <f t="shared" si="1"/>
        <v>2</v>
      </c>
    </row>
    <row r="45" spans="1:12" ht="12" customHeight="1" x14ac:dyDescent="0.35">
      <c r="A45" s="6" t="s">
        <v>298</v>
      </c>
      <c r="B45" s="7" t="s">
        <v>299</v>
      </c>
      <c r="C45" s="8">
        <v>1</v>
      </c>
      <c r="D45" s="8">
        <v>1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 t="s">
        <v>178</v>
      </c>
      <c r="L45" s="11">
        <f t="shared" si="1"/>
        <v>2</v>
      </c>
    </row>
    <row r="46" spans="1:12" ht="12" customHeight="1" x14ac:dyDescent="0.35">
      <c r="A46" s="6" t="s">
        <v>300</v>
      </c>
      <c r="B46" s="7" t="s">
        <v>301</v>
      </c>
      <c r="C46" s="8">
        <v>2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 t="s">
        <v>178</v>
      </c>
      <c r="L46" s="11">
        <f t="shared" si="1"/>
        <v>2</v>
      </c>
    </row>
    <row r="47" spans="1:12" ht="12" customHeight="1" x14ac:dyDescent="0.35">
      <c r="A47" s="6" t="s">
        <v>302</v>
      </c>
      <c r="B47" s="7" t="s">
        <v>303</v>
      </c>
      <c r="C47" s="8">
        <v>2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 t="s">
        <v>178</v>
      </c>
      <c r="L47" s="11">
        <f t="shared" si="1"/>
        <v>2</v>
      </c>
    </row>
    <row r="48" spans="1:12" ht="12" customHeight="1" x14ac:dyDescent="0.35">
      <c r="A48" s="6" t="s">
        <v>304</v>
      </c>
      <c r="B48" s="7" t="s">
        <v>305</v>
      </c>
      <c r="C48" s="8">
        <v>1</v>
      </c>
      <c r="D48" s="8">
        <v>0</v>
      </c>
      <c r="E48" s="8">
        <v>0</v>
      </c>
      <c r="F48" s="8">
        <v>0</v>
      </c>
      <c r="G48" s="8">
        <v>0</v>
      </c>
      <c r="H48" s="8">
        <v>1</v>
      </c>
      <c r="I48" s="8">
        <v>0</v>
      </c>
      <c r="J48" s="8">
        <v>0</v>
      </c>
      <c r="K48" s="8" t="s">
        <v>178</v>
      </c>
      <c r="L48" s="11">
        <f t="shared" si="1"/>
        <v>2</v>
      </c>
    </row>
    <row r="49" spans="1:12" ht="12" customHeight="1" x14ac:dyDescent="0.35">
      <c r="A49" s="6" t="s">
        <v>306</v>
      </c>
      <c r="B49" s="7" t="s">
        <v>307</v>
      </c>
      <c r="C49" s="8">
        <v>1</v>
      </c>
      <c r="D49" s="8">
        <v>0</v>
      </c>
      <c r="E49" s="8">
        <v>0</v>
      </c>
      <c r="F49" s="8">
        <v>1</v>
      </c>
      <c r="G49" s="8">
        <v>0</v>
      </c>
      <c r="H49" s="8">
        <v>0</v>
      </c>
      <c r="I49" s="8">
        <v>0</v>
      </c>
      <c r="J49" s="8">
        <v>0</v>
      </c>
      <c r="K49" s="8" t="s">
        <v>178</v>
      </c>
      <c r="L49" s="11">
        <f t="shared" si="1"/>
        <v>2</v>
      </c>
    </row>
    <row r="50" spans="1:12" ht="12" customHeight="1" x14ac:dyDescent="0.35">
      <c r="A50" s="6" t="s">
        <v>308</v>
      </c>
      <c r="B50" s="7" t="s">
        <v>309</v>
      </c>
      <c r="C50" s="8">
        <v>2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 t="s">
        <v>178</v>
      </c>
      <c r="L50" s="11">
        <f t="shared" si="1"/>
        <v>2</v>
      </c>
    </row>
    <row r="51" spans="1:12" ht="12" customHeight="1" x14ac:dyDescent="0.35">
      <c r="A51" s="6" t="s">
        <v>310</v>
      </c>
      <c r="B51" s="7" t="s">
        <v>311</v>
      </c>
      <c r="C51" s="8">
        <v>1</v>
      </c>
      <c r="D51" s="8">
        <v>1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 t="s">
        <v>178</v>
      </c>
      <c r="L51" s="11">
        <f t="shared" si="1"/>
        <v>2</v>
      </c>
    </row>
    <row r="52" spans="1:12" ht="12" customHeight="1" x14ac:dyDescent="0.35">
      <c r="A52" s="6" t="s">
        <v>312</v>
      </c>
      <c r="B52" s="7" t="s">
        <v>313</v>
      </c>
      <c r="C52" s="8">
        <v>2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 t="s">
        <v>178</v>
      </c>
      <c r="L52" s="11">
        <f t="shared" si="1"/>
        <v>2</v>
      </c>
    </row>
    <row r="53" spans="1:12" ht="12" customHeight="1" x14ac:dyDescent="0.35">
      <c r="A53" s="6" t="s">
        <v>314</v>
      </c>
      <c r="B53" s="7" t="s">
        <v>315</v>
      </c>
      <c r="C53" s="8">
        <v>2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 t="s">
        <v>178</v>
      </c>
      <c r="L53" s="11">
        <f t="shared" si="1"/>
        <v>2</v>
      </c>
    </row>
    <row r="54" spans="1:12" ht="12" customHeight="1" x14ac:dyDescent="0.35">
      <c r="A54" s="6" t="s">
        <v>316</v>
      </c>
      <c r="B54" s="7" t="s">
        <v>317</v>
      </c>
      <c r="C54" s="8">
        <v>2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 t="s">
        <v>178</v>
      </c>
      <c r="L54" s="11">
        <f t="shared" si="1"/>
        <v>2</v>
      </c>
    </row>
    <row r="55" spans="1:12" ht="12" customHeight="1" x14ac:dyDescent="0.35">
      <c r="A55" s="6" t="s">
        <v>318</v>
      </c>
      <c r="B55" s="7" t="s">
        <v>319</v>
      </c>
      <c r="C55" s="8">
        <v>2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 t="s">
        <v>178</v>
      </c>
      <c r="L55" s="11">
        <f t="shared" si="1"/>
        <v>2</v>
      </c>
    </row>
    <row r="56" spans="1:12" ht="12" customHeight="1" x14ac:dyDescent="0.35">
      <c r="A56" s="6" t="s">
        <v>320</v>
      </c>
      <c r="B56" s="7" t="s">
        <v>321</v>
      </c>
      <c r="C56" s="8">
        <v>2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 t="s">
        <v>178</v>
      </c>
      <c r="L56" s="11">
        <f t="shared" si="1"/>
        <v>2</v>
      </c>
    </row>
    <row r="57" spans="1:12" ht="12" customHeight="1" x14ac:dyDescent="0.35">
      <c r="A57" s="6" t="s">
        <v>322</v>
      </c>
      <c r="B57" s="7" t="s">
        <v>323</v>
      </c>
      <c r="C57" s="8">
        <v>2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 t="s">
        <v>178</v>
      </c>
      <c r="L57" s="11">
        <f t="shared" si="1"/>
        <v>2</v>
      </c>
    </row>
    <row r="58" spans="1:12" ht="12" customHeight="1" x14ac:dyDescent="0.35">
      <c r="A58" s="6" t="s">
        <v>324</v>
      </c>
      <c r="B58" s="7" t="s">
        <v>325</v>
      </c>
      <c r="C58" s="8">
        <v>2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 t="s">
        <v>178</v>
      </c>
      <c r="L58" s="11">
        <f t="shared" si="1"/>
        <v>2</v>
      </c>
    </row>
    <row r="59" spans="1:12" ht="12" customHeight="1" x14ac:dyDescent="0.35">
      <c r="A59" s="6" t="s">
        <v>326</v>
      </c>
      <c r="B59" s="7" t="s">
        <v>327</v>
      </c>
      <c r="C59" s="8">
        <v>0</v>
      </c>
      <c r="D59" s="8">
        <v>2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 t="s">
        <v>178</v>
      </c>
      <c r="L59" s="11">
        <f t="shared" si="1"/>
        <v>2</v>
      </c>
    </row>
    <row r="60" spans="1:12" ht="12" customHeight="1" x14ac:dyDescent="0.35">
      <c r="A60" s="6" t="s">
        <v>328</v>
      </c>
      <c r="B60" s="7" t="s">
        <v>329</v>
      </c>
      <c r="C60" s="8">
        <v>0</v>
      </c>
      <c r="D60" s="8">
        <v>2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 t="s">
        <v>178</v>
      </c>
      <c r="L60" s="11">
        <f t="shared" si="1"/>
        <v>2</v>
      </c>
    </row>
    <row r="61" spans="1:12" ht="12" customHeight="1" x14ac:dyDescent="0.35">
      <c r="A61" s="6" t="s">
        <v>330</v>
      </c>
      <c r="B61" s="7" t="s">
        <v>331</v>
      </c>
      <c r="C61" s="8">
        <v>0</v>
      </c>
      <c r="D61" s="8">
        <v>2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 t="s">
        <v>178</v>
      </c>
      <c r="L61" s="11">
        <f t="shared" si="1"/>
        <v>2</v>
      </c>
    </row>
    <row r="62" spans="1:12" ht="12" customHeight="1" x14ac:dyDescent="0.35">
      <c r="A62" s="6" t="s">
        <v>332</v>
      </c>
      <c r="B62" s="7" t="s">
        <v>333</v>
      </c>
      <c r="C62" s="8">
        <v>0</v>
      </c>
      <c r="D62" s="8">
        <v>2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 t="s">
        <v>178</v>
      </c>
      <c r="L62" s="11">
        <f t="shared" si="1"/>
        <v>2</v>
      </c>
    </row>
    <row r="63" spans="1:12" ht="12" customHeight="1" x14ac:dyDescent="0.35">
      <c r="A63" s="6" t="s">
        <v>334</v>
      </c>
      <c r="B63" s="7" t="s">
        <v>335</v>
      </c>
      <c r="C63" s="8">
        <v>0</v>
      </c>
      <c r="D63" s="8">
        <v>1</v>
      </c>
      <c r="E63" s="8">
        <v>1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 t="s">
        <v>178</v>
      </c>
      <c r="L63" s="11">
        <f t="shared" si="1"/>
        <v>2</v>
      </c>
    </row>
    <row r="64" spans="1:12" ht="12" customHeight="1" x14ac:dyDescent="0.35">
      <c r="A64" s="6" t="s">
        <v>336</v>
      </c>
      <c r="B64" s="7" t="s">
        <v>337</v>
      </c>
      <c r="C64" s="8">
        <v>0</v>
      </c>
      <c r="D64" s="8">
        <v>0</v>
      </c>
      <c r="E64" s="8">
        <v>2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 t="s">
        <v>178</v>
      </c>
      <c r="L64" s="11">
        <f t="shared" si="1"/>
        <v>2</v>
      </c>
    </row>
    <row r="65" spans="1:12" ht="12" customHeight="1" x14ac:dyDescent="0.35">
      <c r="A65" s="6" t="s">
        <v>338</v>
      </c>
      <c r="B65" s="7" t="s">
        <v>339</v>
      </c>
      <c r="C65" s="8">
        <v>0</v>
      </c>
      <c r="D65" s="8">
        <v>0</v>
      </c>
      <c r="E65" s="8">
        <v>2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 t="s">
        <v>178</v>
      </c>
      <c r="L65" s="11">
        <f t="shared" si="1"/>
        <v>2</v>
      </c>
    </row>
    <row r="66" spans="1:12" ht="12" customHeight="1" x14ac:dyDescent="0.35">
      <c r="A66" s="6" t="s">
        <v>340</v>
      </c>
      <c r="B66" s="7" t="s">
        <v>341</v>
      </c>
      <c r="C66" s="8">
        <v>0</v>
      </c>
      <c r="D66" s="8">
        <v>0</v>
      </c>
      <c r="E66" s="8">
        <v>2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 t="s">
        <v>178</v>
      </c>
      <c r="L66" s="11">
        <f t="shared" ref="L66:L97" si="2">SUM(C66:J66)</f>
        <v>2</v>
      </c>
    </row>
    <row r="67" spans="1:12" ht="12" customHeight="1" x14ac:dyDescent="0.35">
      <c r="A67" s="6" t="s">
        <v>342</v>
      </c>
      <c r="B67" s="7" t="s">
        <v>343</v>
      </c>
      <c r="C67" s="8">
        <v>0</v>
      </c>
      <c r="D67" s="8">
        <v>0</v>
      </c>
      <c r="E67" s="8">
        <v>1</v>
      </c>
      <c r="F67" s="8">
        <v>1</v>
      </c>
      <c r="G67" s="8">
        <v>0</v>
      </c>
      <c r="H67" s="8">
        <v>0</v>
      </c>
      <c r="I67" s="8">
        <v>0</v>
      </c>
      <c r="J67" s="8">
        <v>0</v>
      </c>
      <c r="K67" s="8" t="s">
        <v>178</v>
      </c>
      <c r="L67" s="11">
        <f t="shared" si="2"/>
        <v>2</v>
      </c>
    </row>
    <row r="68" spans="1:12" ht="12" customHeight="1" x14ac:dyDescent="0.35">
      <c r="A68" s="6" t="s">
        <v>344</v>
      </c>
      <c r="B68" s="7" t="s">
        <v>345</v>
      </c>
      <c r="C68" s="8">
        <v>0</v>
      </c>
      <c r="D68" s="8">
        <v>0</v>
      </c>
      <c r="E68" s="8">
        <v>0</v>
      </c>
      <c r="F68" s="8">
        <v>1</v>
      </c>
      <c r="G68" s="8">
        <v>1</v>
      </c>
      <c r="H68" s="8">
        <v>0</v>
      </c>
      <c r="I68" s="8">
        <v>0</v>
      </c>
      <c r="J68" s="8">
        <v>0</v>
      </c>
      <c r="K68" s="8" t="s">
        <v>178</v>
      </c>
      <c r="L68" s="11">
        <f t="shared" si="2"/>
        <v>2</v>
      </c>
    </row>
    <row r="69" spans="1:12" ht="12" customHeight="1" x14ac:dyDescent="0.35">
      <c r="A69" s="6" t="s">
        <v>346</v>
      </c>
      <c r="B69" s="7" t="s">
        <v>347</v>
      </c>
      <c r="C69" s="8">
        <v>0</v>
      </c>
      <c r="D69" s="8">
        <v>0</v>
      </c>
      <c r="E69" s="8">
        <v>0</v>
      </c>
      <c r="F69" s="8">
        <v>0</v>
      </c>
      <c r="G69" s="8">
        <v>2</v>
      </c>
      <c r="H69" s="8">
        <v>0</v>
      </c>
      <c r="I69" s="8">
        <v>0</v>
      </c>
      <c r="J69" s="8">
        <v>0</v>
      </c>
      <c r="K69" s="8" t="s">
        <v>178</v>
      </c>
      <c r="L69" s="11">
        <f t="shared" si="2"/>
        <v>2</v>
      </c>
    </row>
    <row r="70" spans="1:12" ht="12" customHeight="1" x14ac:dyDescent="0.35">
      <c r="A70" s="6" t="s">
        <v>348</v>
      </c>
      <c r="B70" s="7" t="s">
        <v>349</v>
      </c>
      <c r="C70" s="8">
        <v>1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 t="s">
        <v>178</v>
      </c>
      <c r="L70" s="12">
        <f t="shared" si="2"/>
        <v>1</v>
      </c>
    </row>
    <row r="71" spans="1:12" ht="12" customHeight="1" x14ac:dyDescent="0.35">
      <c r="A71" s="6" t="s">
        <v>350</v>
      </c>
      <c r="B71" s="7" t="s">
        <v>351</v>
      </c>
      <c r="C71" s="8">
        <v>1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 t="s">
        <v>178</v>
      </c>
      <c r="L71" s="12">
        <f t="shared" si="2"/>
        <v>1</v>
      </c>
    </row>
    <row r="72" spans="1:12" ht="12" customHeight="1" x14ac:dyDescent="0.35">
      <c r="A72" s="6" t="s">
        <v>352</v>
      </c>
      <c r="B72" s="7" t="s">
        <v>353</v>
      </c>
      <c r="C72" s="8">
        <v>1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 t="s">
        <v>178</v>
      </c>
      <c r="L72" s="12">
        <f t="shared" si="2"/>
        <v>1</v>
      </c>
    </row>
    <row r="73" spans="1:12" ht="12" customHeight="1" x14ac:dyDescent="0.35">
      <c r="A73" s="6" t="s">
        <v>354</v>
      </c>
      <c r="B73" s="7" t="s">
        <v>355</v>
      </c>
      <c r="C73" s="8">
        <v>1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 t="s">
        <v>178</v>
      </c>
      <c r="L73" s="12">
        <f t="shared" si="2"/>
        <v>1</v>
      </c>
    </row>
    <row r="74" spans="1:12" ht="12" customHeight="1" x14ac:dyDescent="0.35">
      <c r="A74" s="6" t="s">
        <v>356</v>
      </c>
      <c r="B74" s="7" t="s">
        <v>357</v>
      </c>
      <c r="C74" s="8">
        <v>1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 t="s">
        <v>178</v>
      </c>
      <c r="L74" s="12">
        <f t="shared" si="2"/>
        <v>1</v>
      </c>
    </row>
    <row r="75" spans="1:12" ht="12" customHeight="1" x14ac:dyDescent="0.35">
      <c r="A75" s="6" t="s">
        <v>358</v>
      </c>
      <c r="B75" s="7" t="s">
        <v>359</v>
      </c>
      <c r="C75" s="8">
        <v>1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 t="s">
        <v>178</v>
      </c>
      <c r="L75" s="12">
        <f t="shared" si="2"/>
        <v>1</v>
      </c>
    </row>
    <row r="76" spans="1:12" ht="12" customHeight="1" x14ac:dyDescent="0.35">
      <c r="A76" s="6" t="s">
        <v>360</v>
      </c>
      <c r="B76" s="7" t="s">
        <v>361</v>
      </c>
      <c r="C76" s="8">
        <v>1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 t="s">
        <v>178</v>
      </c>
      <c r="L76" s="12">
        <f t="shared" si="2"/>
        <v>1</v>
      </c>
    </row>
    <row r="77" spans="1:12" ht="12" customHeight="1" x14ac:dyDescent="0.35">
      <c r="A77" s="6" t="s">
        <v>362</v>
      </c>
      <c r="B77" s="7" t="s">
        <v>363</v>
      </c>
      <c r="C77" s="8">
        <v>1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 t="s">
        <v>178</v>
      </c>
      <c r="L77" s="12">
        <f t="shared" si="2"/>
        <v>1</v>
      </c>
    </row>
    <row r="78" spans="1:12" ht="12" customHeight="1" x14ac:dyDescent="0.35">
      <c r="A78" s="6" t="s">
        <v>364</v>
      </c>
      <c r="B78" s="7" t="s">
        <v>365</v>
      </c>
      <c r="C78" s="8">
        <v>1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 t="s">
        <v>178</v>
      </c>
      <c r="L78" s="12">
        <f t="shared" si="2"/>
        <v>1</v>
      </c>
    </row>
    <row r="79" spans="1:12" ht="12" customHeight="1" x14ac:dyDescent="0.35">
      <c r="A79" s="6" t="s">
        <v>366</v>
      </c>
      <c r="B79" s="7" t="s">
        <v>367</v>
      </c>
      <c r="C79" s="8">
        <v>1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 t="s">
        <v>178</v>
      </c>
      <c r="L79" s="12">
        <f t="shared" si="2"/>
        <v>1</v>
      </c>
    </row>
    <row r="80" spans="1:12" ht="12" customHeight="1" x14ac:dyDescent="0.35">
      <c r="A80" s="6" t="s">
        <v>368</v>
      </c>
      <c r="B80" s="7" t="s">
        <v>369</v>
      </c>
      <c r="C80" s="8">
        <v>1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 t="s">
        <v>178</v>
      </c>
      <c r="L80" s="12">
        <f t="shared" si="2"/>
        <v>1</v>
      </c>
    </row>
    <row r="81" spans="1:12" ht="12" customHeight="1" x14ac:dyDescent="0.35">
      <c r="A81" s="6" t="s">
        <v>370</v>
      </c>
      <c r="B81" s="7" t="s">
        <v>371</v>
      </c>
      <c r="C81" s="8">
        <v>1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 t="s">
        <v>178</v>
      </c>
      <c r="L81" s="12">
        <f t="shared" si="2"/>
        <v>1</v>
      </c>
    </row>
    <row r="82" spans="1:12" ht="12" customHeight="1" x14ac:dyDescent="0.35">
      <c r="A82" s="6" t="s">
        <v>372</v>
      </c>
      <c r="B82" s="7" t="s">
        <v>373</v>
      </c>
      <c r="C82" s="8">
        <v>1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 t="s">
        <v>178</v>
      </c>
      <c r="L82" s="12">
        <f t="shared" si="2"/>
        <v>1</v>
      </c>
    </row>
    <row r="83" spans="1:12" ht="12" customHeight="1" x14ac:dyDescent="0.35">
      <c r="A83" s="6" t="s">
        <v>374</v>
      </c>
      <c r="B83" s="7" t="s">
        <v>375</v>
      </c>
      <c r="C83" s="8">
        <v>1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 t="s">
        <v>178</v>
      </c>
      <c r="L83" s="12">
        <f t="shared" si="2"/>
        <v>1</v>
      </c>
    </row>
    <row r="84" spans="1:12" ht="12" customHeight="1" x14ac:dyDescent="0.35">
      <c r="A84" s="6" t="s">
        <v>376</v>
      </c>
      <c r="B84" s="7" t="s">
        <v>377</v>
      </c>
      <c r="C84" s="8">
        <v>1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 t="s">
        <v>178</v>
      </c>
      <c r="L84" s="12">
        <f t="shared" si="2"/>
        <v>1</v>
      </c>
    </row>
    <row r="85" spans="1:12" ht="12" customHeight="1" x14ac:dyDescent="0.35">
      <c r="A85" s="6" t="s">
        <v>378</v>
      </c>
      <c r="B85" s="7" t="s">
        <v>379</v>
      </c>
      <c r="C85" s="8">
        <v>1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 t="s">
        <v>178</v>
      </c>
      <c r="L85" s="12">
        <f t="shared" si="2"/>
        <v>1</v>
      </c>
    </row>
    <row r="86" spans="1:12" ht="12" customHeight="1" x14ac:dyDescent="0.35">
      <c r="A86" s="6" t="s">
        <v>380</v>
      </c>
      <c r="B86" s="7" t="s">
        <v>381</v>
      </c>
      <c r="C86" s="8">
        <v>1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 t="s">
        <v>178</v>
      </c>
      <c r="L86" s="12">
        <f t="shared" si="2"/>
        <v>1</v>
      </c>
    </row>
    <row r="87" spans="1:12" ht="12" customHeight="1" x14ac:dyDescent="0.35">
      <c r="A87" s="6" t="s">
        <v>382</v>
      </c>
      <c r="B87" s="7" t="s">
        <v>383</v>
      </c>
      <c r="C87" s="8">
        <v>1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 t="s">
        <v>178</v>
      </c>
      <c r="L87" s="12">
        <f t="shared" si="2"/>
        <v>1</v>
      </c>
    </row>
    <row r="88" spans="1:12" ht="12" customHeight="1" x14ac:dyDescent="0.35">
      <c r="A88" s="6" t="s">
        <v>384</v>
      </c>
      <c r="B88" s="7" t="s">
        <v>385</v>
      </c>
      <c r="C88" s="8">
        <v>1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 t="s">
        <v>178</v>
      </c>
      <c r="L88" s="12">
        <f t="shared" si="2"/>
        <v>1</v>
      </c>
    </row>
    <row r="89" spans="1:12" ht="12" customHeight="1" x14ac:dyDescent="0.35">
      <c r="A89" s="6" t="s">
        <v>386</v>
      </c>
      <c r="B89" s="7" t="s">
        <v>387</v>
      </c>
      <c r="C89" s="8">
        <v>1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 t="s">
        <v>178</v>
      </c>
      <c r="L89" s="12">
        <f t="shared" si="2"/>
        <v>1</v>
      </c>
    </row>
    <row r="90" spans="1:12" ht="12" customHeight="1" x14ac:dyDescent="0.35">
      <c r="A90" s="6" t="s">
        <v>388</v>
      </c>
      <c r="B90" s="7" t="s">
        <v>389</v>
      </c>
      <c r="C90" s="8">
        <v>1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 t="s">
        <v>178</v>
      </c>
      <c r="L90" s="12">
        <f t="shared" si="2"/>
        <v>1</v>
      </c>
    </row>
    <row r="91" spans="1:12" ht="12" customHeight="1" x14ac:dyDescent="0.35">
      <c r="A91" s="6" t="s">
        <v>390</v>
      </c>
      <c r="B91" s="7" t="s">
        <v>391</v>
      </c>
      <c r="C91" s="8">
        <v>1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 t="s">
        <v>178</v>
      </c>
      <c r="L91" s="12">
        <f t="shared" si="2"/>
        <v>1</v>
      </c>
    </row>
    <row r="92" spans="1:12" ht="12" customHeight="1" x14ac:dyDescent="0.35">
      <c r="A92" s="6" t="s">
        <v>392</v>
      </c>
      <c r="B92" s="7" t="s">
        <v>393</v>
      </c>
      <c r="C92" s="8">
        <v>1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 t="s">
        <v>178</v>
      </c>
      <c r="L92" s="12">
        <f t="shared" si="2"/>
        <v>1</v>
      </c>
    </row>
    <row r="93" spans="1:12" ht="12" customHeight="1" x14ac:dyDescent="0.35">
      <c r="A93" s="6" t="s">
        <v>394</v>
      </c>
      <c r="B93" s="7" t="s">
        <v>395</v>
      </c>
      <c r="C93" s="8">
        <v>1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 t="s">
        <v>178</v>
      </c>
      <c r="L93" s="12">
        <f t="shared" si="2"/>
        <v>1</v>
      </c>
    </row>
    <row r="94" spans="1:12" ht="12" customHeight="1" x14ac:dyDescent="0.35">
      <c r="A94" s="6" t="s">
        <v>396</v>
      </c>
      <c r="B94" s="7" t="s">
        <v>397</v>
      </c>
      <c r="C94" s="8">
        <v>0</v>
      </c>
      <c r="D94" s="8">
        <v>1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 t="s">
        <v>178</v>
      </c>
      <c r="L94" s="12">
        <f t="shared" si="2"/>
        <v>1</v>
      </c>
    </row>
    <row r="95" spans="1:12" ht="12" customHeight="1" x14ac:dyDescent="0.35">
      <c r="A95" s="6" t="s">
        <v>398</v>
      </c>
      <c r="B95" s="7" t="s">
        <v>399</v>
      </c>
      <c r="C95" s="8">
        <v>0</v>
      </c>
      <c r="D95" s="8">
        <v>1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 t="s">
        <v>178</v>
      </c>
      <c r="L95" s="12">
        <f t="shared" si="2"/>
        <v>1</v>
      </c>
    </row>
    <row r="96" spans="1:12" ht="12" customHeight="1" x14ac:dyDescent="0.35">
      <c r="A96" s="6" t="s">
        <v>400</v>
      </c>
      <c r="B96" s="7" t="s">
        <v>401</v>
      </c>
      <c r="C96" s="8">
        <v>0</v>
      </c>
      <c r="D96" s="8">
        <v>1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 t="s">
        <v>178</v>
      </c>
      <c r="L96" s="12">
        <f t="shared" si="2"/>
        <v>1</v>
      </c>
    </row>
    <row r="97" spans="1:12" ht="12" customHeight="1" x14ac:dyDescent="0.35">
      <c r="A97" s="6" t="s">
        <v>402</v>
      </c>
      <c r="B97" s="7" t="s">
        <v>403</v>
      </c>
      <c r="C97" s="8">
        <v>0</v>
      </c>
      <c r="D97" s="8">
        <v>1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 t="s">
        <v>178</v>
      </c>
      <c r="L97" s="12">
        <f t="shared" si="2"/>
        <v>1</v>
      </c>
    </row>
    <row r="98" spans="1:12" ht="12" customHeight="1" x14ac:dyDescent="0.35">
      <c r="A98" s="6" t="s">
        <v>404</v>
      </c>
      <c r="B98" s="7" t="s">
        <v>405</v>
      </c>
      <c r="C98" s="8">
        <v>0</v>
      </c>
      <c r="D98" s="8">
        <v>1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 t="s">
        <v>178</v>
      </c>
      <c r="L98" s="12">
        <f t="shared" ref="L98:L121" si="3">SUM(C98:J98)</f>
        <v>1</v>
      </c>
    </row>
    <row r="99" spans="1:12" ht="12" customHeight="1" x14ac:dyDescent="0.35">
      <c r="A99" s="6" t="s">
        <v>406</v>
      </c>
      <c r="B99" s="7" t="s">
        <v>407</v>
      </c>
      <c r="C99" s="8">
        <v>0</v>
      </c>
      <c r="D99" s="8">
        <v>1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 t="s">
        <v>178</v>
      </c>
      <c r="L99" s="12">
        <f t="shared" si="3"/>
        <v>1</v>
      </c>
    </row>
    <row r="100" spans="1:12" ht="12" customHeight="1" x14ac:dyDescent="0.35">
      <c r="A100" s="6" t="s">
        <v>408</v>
      </c>
      <c r="B100" s="7" t="s">
        <v>409</v>
      </c>
      <c r="C100" s="8">
        <v>0</v>
      </c>
      <c r="D100" s="8">
        <v>1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 t="s">
        <v>178</v>
      </c>
      <c r="L100" s="12">
        <f t="shared" si="3"/>
        <v>1</v>
      </c>
    </row>
    <row r="101" spans="1:12" ht="12" customHeight="1" x14ac:dyDescent="0.35">
      <c r="A101" s="6" t="s">
        <v>410</v>
      </c>
      <c r="B101" s="7" t="s">
        <v>411</v>
      </c>
      <c r="C101" s="8">
        <v>0</v>
      </c>
      <c r="D101" s="8">
        <v>1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 t="s">
        <v>178</v>
      </c>
      <c r="L101" s="12">
        <f t="shared" si="3"/>
        <v>1</v>
      </c>
    </row>
    <row r="102" spans="1:12" ht="12" customHeight="1" x14ac:dyDescent="0.35">
      <c r="A102" s="6" t="s">
        <v>412</v>
      </c>
      <c r="B102" s="7" t="s">
        <v>413</v>
      </c>
      <c r="C102" s="8">
        <v>0</v>
      </c>
      <c r="D102" s="8">
        <v>1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 t="s">
        <v>178</v>
      </c>
      <c r="L102" s="12">
        <f t="shared" si="3"/>
        <v>1</v>
      </c>
    </row>
    <row r="103" spans="1:12" ht="12" customHeight="1" x14ac:dyDescent="0.35">
      <c r="A103" s="6" t="s">
        <v>414</v>
      </c>
      <c r="B103" s="7" t="s">
        <v>415</v>
      </c>
      <c r="C103" s="8">
        <v>0</v>
      </c>
      <c r="D103" s="8">
        <v>1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 t="s">
        <v>178</v>
      </c>
      <c r="L103" s="12">
        <f t="shared" si="3"/>
        <v>1</v>
      </c>
    </row>
    <row r="104" spans="1:12" ht="12" customHeight="1" x14ac:dyDescent="0.35">
      <c r="A104" s="6" t="s">
        <v>416</v>
      </c>
      <c r="B104" s="7" t="s">
        <v>417</v>
      </c>
      <c r="C104" s="8">
        <v>0</v>
      </c>
      <c r="D104" s="8">
        <v>1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 t="s">
        <v>178</v>
      </c>
      <c r="L104" s="12">
        <f t="shared" si="3"/>
        <v>1</v>
      </c>
    </row>
    <row r="105" spans="1:12" ht="12" customHeight="1" x14ac:dyDescent="0.35">
      <c r="A105" s="6" t="s">
        <v>418</v>
      </c>
      <c r="B105" s="7" t="s">
        <v>419</v>
      </c>
      <c r="C105" s="8">
        <v>0</v>
      </c>
      <c r="D105" s="8">
        <v>1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 t="s">
        <v>178</v>
      </c>
      <c r="L105" s="12">
        <f t="shared" si="3"/>
        <v>1</v>
      </c>
    </row>
    <row r="106" spans="1:12" ht="12" customHeight="1" x14ac:dyDescent="0.35">
      <c r="A106" s="6" t="s">
        <v>420</v>
      </c>
      <c r="B106" s="7" t="s">
        <v>421</v>
      </c>
      <c r="C106" s="8">
        <v>0</v>
      </c>
      <c r="D106" s="8">
        <v>1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 t="s">
        <v>178</v>
      </c>
      <c r="L106" s="12">
        <f t="shared" si="3"/>
        <v>1</v>
      </c>
    </row>
    <row r="107" spans="1:12" ht="12" customHeight="1" x14ac:dyDescent="0.35">
      <c r="A107" s="6" t="s">
        <v>422</v>
      </c>
      <c r="B107" s="7" t="s">
        <v>423</v>
      </c>
      <c r="C107" s="8">
        <v>0</v>
      </c>
      <c r="D107" s="8">
        <v>1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 t="s">
        <v>178</v>
      </c>
      <c r="L107" s="12">
        <f t="shared" si="3"/>
        <v>1</v>
      </c>
    </row>
    <row r="108" spans="1:12" ht="12" customHeight="1" x14ac:dyDescent="0.35">
      <c r="A108" s="6" t="s">
        <v>424</v>
      </c>
      <c r="B108" s="7" t="s">
        <v>425</v>
      </c>
      <c r="C108" s="8">
        <v>0</v>
      </c>
      <c r="D108" s="8">
        <v>1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 t="s">
        <v>178</v>
      </c>
      <c r="L108" s="12">
        <f t="shared" si="3"/>
        <v>1</v>
      </c>
    </row>
    <row r="109" spans="1:12" ht="12" customHeight="1" x14ac:dyDescent="0.35">
      <c r="A109" s="6" t="s">
        <v>426</v>
      </c>
      <c r="B109" s="7" t="s">
        <v>427</v>
      </c>
      <c r="C109" s="8">
        <v>0</v>
      </c>
      <c r="D109" s="8">
        <v>1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 t="s">
        <v>178</v>
      </c>
      <c r="L109" s="12">
        <f t="shared" si="3"/>
        <v>1</v>
      </c>
    </row>
    <row r="110" spans="1:12" ht="12" customHeight="1" x14ac:dyDescent="0.35">
      <c r="A110" s="6" t="s">
        <v>428</v>
      </c>
      <c r="B110" s="7" t="s">
        <v>429</v>
      </c>
      <c r="C110" s="8">
        <v>0</v>
      </c>
      <c r="D110" s="8">
        <v>0</v>
      </c>
      <c r="E110" s="8">
        <v>1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 t="s">
        <v>178</v>
      </c>
      <c r="L110" s="12">
        <f t="shared" si="3"/>
        <v>1</v>
      </c>
    </row>
    <row r="111" spans="1:12" ht="12" customHeight="1" x14ac:dyDescent="0.35">
      <c r="A111" s="6" t="s">
        <v>430</v>
      </c>
      <c r="B111" s="7" t="s">
        <v>431</v>
      </c>
      <c r="C111" s="8">
        <v>0</v>
      </c>
      <c r="D111" s="8">
        <v>0</v>
      </c>
      <c r="E111" s="8">
        <v>1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 t="s">
        <v>178</v>
      </c>
      <c r="L111" s="12">
        <f t="shared" si="3"/>
        <v>1</v>
      </c>
    </row>
    <row r="112" spans="1:12" ht="12" customHeight="1" x14ac:dyDescent="0.35">
      <c r="A112" s="6" t="s">
        <v>432</v>
      </c>
      <c r="B112" s="7" t="s">
        <v>433</v>
      </c>
      <c r="C112" s="8">
        <v>0</v>
      </c>
      <c r="D112" s="8">
        <v>0</v>
      </c>
      <c r="E112" s="8">
        <v>1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 t="s">
        <v>178</v>
      </c>
      <c r="L112" s="12">
        <f t="shared" si="3"/>
        <v>1</v>
      </c>
    </row>
    <row r="113" spans="1:12" ht="12" customHeight="1" x14ac:dyDescent="0.35">
      <c r="A113" s="6" t="s">
        <v>434</v>
      </c>
      <c r="B113" s="7" t="s">
        <v>435</v>
      </c>
      <c r="C113" s="8">
        <v>0</v>
      </c>
      <c r="D113" s="8">
        <v>0</v>
      </c>
      <c r="E113" s="8">
        <v>1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 t="s">
        <v>178</v>
      </c>
      <c r="L113" s="12">
        <f t="shared" si="3"/>
        <v>1</v>
      </c>
    </row>
    <row r="114" spans="1:12" ht="12" customHeight="1" x14ac:dyDescent="0.35">
      <c r="A114" s="6" t="s">
        <v>436</v>
      </c>
      <c r="B114" s="7" t="s">
        <v>437</v>
      </c>
      <c r="C114" s="8">
        <v>0</v>
      </c>
      <c r="D114" s="8">
        <v>0</v>
      </c>
      <c r="E114" s="8">
        <v>1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 t="s">
        <v>178</v>
      </c>
      <c r="L114" s="12">
        <f t="shared" si="3"/>
        <v>1</v>
      </c>
    </row>
    <row r="115" spans="1:12" ht="12" customHeight="1" x14ac:dyDescent="0.35">
      <c r="A115" s="6" t="s">
        <v>438</v>
      </c>
      <c r="B115" s="7" t="s">
        <v>439</v>
      </c>
      <c r="C115" s="8">
        <v>0</v>
      </c>
      <c r="D115" s="8">
        <v>0</v>
      </c>
      <c r="E115" s="8">
        <v>1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 t="s">
        <v>178</v>
      </c>
      <c r="L115" s="12">
        <f t="shared" si="3"/>
        <v>1</v>
      </c>
    </row>
    <row r="116" spans="1:12" ht="12" customHeight="1" x14ac:dyDescent="0.35">
      <c r="A116" s="6" t="s">
        <v>440</v>
      </c>
      <c r="B116" s="7" t="s">
        <v>441</v>
      </c>
      <c r="C116" s="8">
        <v>0</v>
      </c>
      <c r="D116" s="8">
        <v>0</v>
      </c>
      <c r="E116" s="8">
        <v>0</v>
      </c>
      <c r="F116" s="8">
        <v>1</v>
      </c>
      <c r="G116" s="8">
        <v>0</v>
      </c>
      <c r="H116" s="8">
        <v>0</v>
      </c>
      <c r="I116" s="8">
        <v>0</v>
      </c>
      <c r="J116" s="8">
        <v>0</v>
      </c>
      <c r="K116" s="8" t="s">
        <v>178</v>
      </c>
      <c r="L116" s="12">
        <f t="shared" si="3"/>
        <v>1</v>
      </c>
    </row>
    <row r="117" spans="1:12" ht="12" customHeight="1" x14ac:dyDescent="0.35">
      <c r="A117" s="6" t="s">
        <v>442</v>
      </c>
      <c r="B117" s="7" t="s">
        <v>443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1</v>
      </c>
      <c r="J117" s="8">
        <v>0</v>
      </c>
      <c r="K117" s="8" t="s">
        <v>178</v>
      </c>
      <c r="L117" s="12">
        <f t="shared" si="3"/>
        <v>1</v>
      </c>
    </row>
    <row r="118" spans="1:12" ht="12" customHeight="1" x14ac:dyDescent="0.35">
      <c r="A118" s="6" t="s">
        <v>444</v>
      </c>
      <c r="B118" s="7" t="s">
        <v>445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1</v>
      </c>
      <c r="K118" s="8" t="s">
        <v>178</v>
      </c>
      <c r="L118" s="12">
        <f t="shared" si="3"/>
        <v>1</v>
      </c>
    </row>
    <row r="119" spans="1:12" ht="12" customHeight="1" x14ac:dyDescent="0.35">
      <c r="A119" s="6" t="s">
        <v>446</v>
      </c>
      <c r="B119" s="7" t="s">
        <v>447</v>
      </c>
      <c r="C119" s="8">
        <v>0</v>
      </c>
      <c r="D119" s="8">
        <v>0</v>
      </c>
      <c r="E119" s="8">
        <v>1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 t="s">
        <v>178</v>
      </c>
      <c r="L119" s="12">
        <f t="shared" si="3"/>
        <v>1</v>
      </c>
    </row>
    <row r="120" spans="1:12" ht="12" customHeight="1" x14ac:dyDescent="0.35">
      <c r="A120" s="6" t="s">
        <v>448</v>
      </c>
      <c r="B120" s="7" t="s">
        <v>449</v>
      </c>
      <c r="C120" s="8">
        <v>0</v>
      </c>
      <c r="D120" s="8">
        <v>0</v>
      </c>
      <c r="E120" s="8">
        <v>1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 t="s">
        <v>178</v>
      </c>
      <c r="L120" s="12">
        <f t="shared" si="3"/>
        <v>1</v>
      </c>
    </row>
    <row r="121" spans="1:12" ht="12" customHeight="1" x14ac:dyDescent="0.35">
      <c r="A121" s="6" t="s">
        <v>450</v>
      </c>
      <c r="B121" s="7" t="s">
        <v>451</v>
      </c>
      <c r="C121" s="8">
        <v>0</v>
      </c>
      <c r="D121" s="8">
        <v>0</v>
      </c>
      <c r="E121" s="8">
        <v>1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 t="s">
        <v>178</v>
      </c>
      <c r="L121" s="12">
        <f t="shared" si="3"/>
        <v>1</v>
      </c>
    </row>
    <row r="122" spans="1:12" x14ac:dyDescent="0.35">
      <c r="C122">
        <f>SUM(C2:C121)</f>
        <v>143</v>
      </c>
      <c r="D122">
        <f t="shared" ref="D122:K122" si="4">SUM(D2:D121)</f>
        <v>106</v>
      </c>
      <c r="E122">
        <f t="shared" si="4"/>
        <v>37</v>
      </c>
      <c r="F122">
        <f t="shared" si="4"/>
        <v>54</v>
      </c>
      <c r="G122">
        <f t="shared" si="4"/>
        <v>14</v>
      </c>
      <c r="H122">
        <f t="shared" si="4"/>
        <v>8</v>
      </c>
      <c r="I122">
        <f t="shared" si="4"/>
        <v>7</v>
      </c>
      <c r="J122">
        <f t="shared" si="4"/>
        <v>7</v>
      </c>
      <c r="K122">
        <f t="shared" si="4"/>
        <v>0</v>
      </c>
    </row>
    <row r="123" spans="1:12" x14ac:dyDescent="0.35">
      <c r="B123">
        <f>COUNTA(B2:B121)</f>
        <v>120</v>
      </c>
      <c r="C123">
        <f>SUM(C122:J122)</f>
        <v>376</v>
      </c>
      <c r="D123">
        <f>120/C123</f>
        <v>0.31914893617021278</v>
      </c>
    </row>
    <row r="124" spans="1:12" x14ac:dyDescent="0.35">
      <c r="D124">
        <f>1-D123</f>
        <v>0.68085106382978722</v>
      </c>
      <c r="E124" s="17" t="s">
        <v>465</v>
      </c>
    </row>
  </sheetData>
  <autoFilter ref="A1:L12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5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2" width="34" customWidth="1"/>
    <col min="3" max="3" width="16" customWidth="1"/>
    <col min="4" max="4" width="14" customWidth="1"/>
    <col min="5" max="5" width="44" customWidth="1"/>
  </cols>
  <sheetData>
    <row r="1" spans="1:5" ht="64.150000000000006" customHeight="1" x14ac:dyDescent="0.35">
      <c r="A1" s="5" t="s">
        <v>452</v>
      </c>
      <c r="B1" s="5" t="s">
        <v>201</v>
      </c>
      <c r="C1" s="5" t="s">
        <v>453</v>
      </c>
      <c r="D1" s="5" t="s">
        <v>454</v>
      </c>
      <c r="E1" s="5" t="s">
        <v>455</v>
      </c>
    </row>
    <row r="2" spans="1:5" ht="12" customHeight="1" x14ac:dyDescent="0.35">
      <c r="A2" s="6" t="s">
        <v>222</v>
      </c>
      <c r="B2" s="7" t="s">
        <v>223</v>
      </c>
      <c r="C2" s="9">
        <v>55</v>
      </c>
      <c r="D2" s="8">
        <v>1</v>
      </c>
      <c r="E2" s="7" t="s">
        <v>456</v>
      </c>
    </row>
    <row r="3" spans="1:5" ht="12" customHeight="1" x14ac:dyDescent="0.35">
      <c r="A3" s="6" t="s">
        <v>262</v>
      </c>
      <c r="B3" s="7"/>
      <c r="C3" s="9">
        <v>41</v>
      </c>
      <c r="D3" s="8">
        <v>0</v>
      </c>
      <c r="E3" s="7" t="s">
        <v>457</v>
      </c>
    </row>
    <row r="4" spans="1:5" ht="12" customHeight="1" x14ac:dyDescent="0.35">
      <c r="A4" s="6" t="s">
        <v>214</v>
      </c>
      <c r="B4" s="7" t="s">
        <v>215</v>
      </c>
      <c r="C4" s="9">
        <v>40</v>
      </c>
      <c r="D4" s="8">
        <v>7</v>
      </c>
      <c r="E4" s="7" t="s">
        <v>458</v>
      </c>
    </row>
    <row r="5" spans="1:5" ht="12" customHeight="1" x14ac:dyDescent="0.35">
      <c r="A5" s="6" t="s">
        <v>228</v>
      </c>
      <c r="B5" s="7" t="s">
        <v>229</v>
      </c>
      <c r="C5" s="9">
        <v>38</v>
      </c>
      <c r="D5" s="8">
        <v>2</v>
      </c>
      <c r="E5" s="7"/>
    </row>
    <row r="6" spans="1:5" ht="12" customHeight="1" x14ac:dyDescent="0.35">
      <c r="A6" s="6" t="s">
        <v>242</v>
      </c>
      <c r="B6" s="7"/>
      <c r="C6" s="9">
        <v>36</v>
      </c>
      <c r="D6" s="8">
        <v>2</v>
      </c>
      <c r="E6" s="7"/>
    </row>
    <row r="7" spans="1:5" ht="12" customHeight="1" x14ac:dyDescent="0.35">
      <c r="A7" s="6" t="s">
        <v>212</v>
      </c>
      <c r="B7" s="7" t="s">
        <v>213</v>
      </c>
      <c r="C7" s="9">
        <v>35</v>
      </c>
      <c r="D7" s="8">
        <v>21</v>
      </c>
      <c r="E7" s="7" t="s">
        <v>459</v>
      </c>
    </row>
    <row r="8" spans="1:5" ht="12" customHeight="1" x14ac:dyDescent="0.35">
      <c r="A8" s="6" t="s">
        <v>292</v>
      </c>
      <c r="B8" s="7"/>
      <c r="C8" s="9">
        <v>28</v>
      </c>
      <c r="D8" s="8">
        <v>0</v>
      </c>
      <c r="E8" s="7"/>
    </row>
    <row r="9" spans="1:5" ht="12" customHeight="1" x14ac:dyDescent="0.35">
      <c r="A9" s="6" t="s">
        <v>258</v>
      </c>
      <c r="B9" s="7" t="s">
        <v>259</v>
      </c>
      <c r="C9" s="9">
        <v>26</v>
      </c>
      <c r="D9" s="8">
        <v>0</v>
      </c>
      <c r="E9" s="7" t="s">
        <v>460</v>
      </c>
    </row>
    <row r="10" spans="1:5" ht="12" customHeight="1" x14ac:dyDescent="0.35">
      <c r="A10" s="6" t="s">
        <v>238</v>
      </c>
      <c r="B10" s="7" t="s">
        <v>239</v>
      </c>
      <c r="C10" s="9">
        <v>24</v>
      </c>
      <c r="D10" s="8">
        <v>1</v>
      </c>
      <c r="E10" s="7" t="s">
        <v>461</v>
      </c>
    </row>
    <row r="11" spans="1:5" ht="12" customHeight="1" x14ac:dyDescent="0.35">
      <c r="A11" s="6" t="s">
        <v>234</v>
      </c>
      <c r="B11" s="7" t="s">
        <v>235</v>
      </c>
      <c r="C11" s="9">
        <v>24</v>
      </c>
      <c r="D11" s="8">
        <v>2</v>
      </c>
      <c r="E11" s="7" t="s">
        <v>462</v>
      </c>
    </row>
    <row r="12" spans="1:5" ht="12" customHeight="1" x14ac:dyDescent="0.35">
      <c r="A12" s="6" t="s">
        <v>246</v>
      </c>
      <c r="B12" s="7" t="s">
        <v>247</v>
      </c>
      <c r="C12" s="10">
        <v>17</v>
      </c>
      <c r="D12" s="8">
        <v>0</v>
      </c>
      <c r="E12" s="7"/>
    </row>
    <row r="13" spans="1:5" ht="12" customHeight="1" x14ac:dyDescent="0.35">
      <c r="A13" s="6" t="s">
        <v>240</v>
      </c>
      <c r="B13" s="7" t="s">
        <v>241</v>
      </c>
      <c r="C13" s="10">
        <v>16</v>
      </c>
      <c r="D13" s="8">
        <v>0</v>
      </c>
      <c r="E13" s="7"/>
    </row>
    <row r="14" spans="1:5" ht="12" customHeight="1" x14ac:dyDescent="0.35">
      <c r="A14" s="6" t="s">
        <v>230</v>
      </c>
      <c r="B14" s="7" t="s">
        <v>231</v>
      </c>
      <c r="C14" s="10">
        <v>16</v>
      </c>
      <c r="D14" s="8">
        <v>2</v>
      </c>
      <c r="E14" s="7"/>
    </row>
    <row r="15" spans="1:5" ht="12" customHeight="1" x14ac:dyDescent="0.35">
      <c r="A15" s="6" t="s">
        <v>286</v>
      </c>
      <c r="B15" s="7" t="s">
        <v>287</v>
      </c>
      <c r="C15" s="10">
        <v>15</v>
      </c>
      <c r="D15" s="8">
        <v>0</v>
      </c>
      <c r="E15" s="7"/>
    </row>
    <row r="16" spans="1:5" ht="12" customHeight="1" x14ac:dyDescent="0.35">
      <c r="A16" s="6" t="s">
        <v>244</v>
      </c>
      <c r="B16" s="7" t="s">
        <v>245</v>
      </c>
      <c r="C16" s="10">
        <v>14</v>
      </c>
      <c r="D16" s="8">
        <v>3</v>
      </c>
      <c r="E16" s="7"/>
    </row>
    <row r="17" spans="1:5" ht="12" customHeight="1" x14ac:dyDescent="0.35">
      <c r="A17" s="6" t="s">
        <v>264</v>
      </c>
      <c r="B17" s="7" t="s">
        <v>265</v>
      </c>
      <c r="C17" s="10">
        <v>14</v>
      </c>
      <c r="D17" s="8">
        <v>0</v>
      </c>
      <c r="E17" s="7"/>
    </row>
    <row r="18" spans="1:5" ht="12" customHeight="1" x14ac:dyDescent="0.35">
      <c r="A18" s="6" t="s">
        <v>220</v>
      </c>
      <c r="B18" s="7" t="s">
        <v>221</v>
      </c>
      <c r="C18" s="10">
        <v>14</v>
      </c>
      <c r="D18" s="8">
        <v>7</v>
      </c>
      <c r="E18" s="7"/>
    </row>
    <row r="19" spans="1:5" ht="12" customHeight="1" x14ac:dyDescent="0.35">
      <c r="A19" s="6" t="s">
        <v>440</v>
      </c>
      <c r="B19" s="7"/>
      <c r="C19" s="10">
        <v>12</v>
      </c>
      <c r="D19" s="8">
        <v>0</v>
      </c>
      <c r="E19" s="7"/>
    </row>
    <row r="20" spans="1:5" ht="12" customHeight="1" x14ac:dyDescent="0.35">
      <c r="A20" s="6" t="s">
        <v>442</v>
      </c>
      <c r="B20" s="7"/>
      <c r="C20" s="10">
        <v>12</v>
      </c>
      <c r="D20" s="8">
        <v>0</v>
      </c>
      <c r="E20" s="7"/>
    </row>
    <row r="21" spans="1:5" ht="12" customHeight="1" x14ac:dyDescent="0.35">
      <c r="A21" s="6" t="s">
        <v>304</v>
      </c>
      <c r="B21" s="7" t="s">
        <v>305</v>
      </c>
      <c r="C21" s="10">
        <v>12</v>
      </c>
      <c r="D21" s="8">
        <v>1</v>
      </c>
      <c r="E21" s="7"/>
    </row>
    <row r="22" spans="1:5" ht="12" customHeight="1" x14ac:dyDescent="0.35">
      <c r="A22" s="6" t="s">
        <v>290</v>
      </c>
      <c r="B22" s="7"/>
      <c r="C22" s="10">
        <v>12</v>
      </c>
      <c r="D22" s="8">
        <v>1</v>
      </c>
      <c r="E22" s="7"/>
    </row>
    <row r="23" spans="1:5" ht="12" customHeight="1" x14ac:dyDescent="0.35">
      <c r="A23" s="6" t="s">
        <v>216</v>
      </c>
      <c r="B23" s="7" t="s">
        <v>217</v>
      </c>
      <c r="C23" s="11">
        <v>7</v>
      </c>
      <c r="D23" s="8">
        <v>6</v>
      </c>
      <c r="E23" s="7"/>
    </row>
    <row r="24" spans="1:5" ht="12" customHeight="1" x14ac:dyDescent="0.35">
      <c r="A24" s="6" t="s">
        <v>218</v>
      </c>
      <c r="B24" s="7" t="s">
        <v>219</v>
      </c>
      <c r="C24" s="11">
        <v>5</v>
      </c>
      <c r="D24" s="8">
        <v>7</v>
      </c>
      <c r="E24" s="7"/>
    </row>
    <row r="25" spans="1:5" ht="12" customHeight="1" x14ac:dyDescent="0.35">
      <c r="A25" s="6" t="s">
        <v>346</v>
      </c>
      <c r="B25" s="7"/>
      <c r="C25" s="11">
        <v>4</v>
      </c>
      <c r="D25" s="8">
        <v>0</v>
      </c>
      <c r="E25" s="7"/>
    </row>
    <row r="26" spans="1:5" ht="12" customHeight="1" x14ac:dyDescent="0.35">
      <c r="A26" s="6" t="s">
        <v>344</v>
      </c>
      <c r="B26" s="7"/>
      <c r="C26" s="11">
        <v>4</v>
      </c>
      <c r="D26" s="8">
        <v>1</v>
      </c>
      <c r="E26" s="7"/>
    </row>
    <row r="27" spans="1:5" ht="12" customHeight="1" x14ac:dyDescent="0.35">
      <c r="A27" s="6" t="s">
        <v>236</v>
      </c>
      <c r="B27" s="7" t="s">
        <v>237</v>
      </c>
      <c r="C27" s="11">
        <v>4</v>
      </c>
      <c r="D27" s="8">
        <v>2</v>
      </c>
      <c r="E27" s="7"/>
    </row>
    <row r="28" spans="1:5" ht="12" customHeight="1" x14ac:dyDescent="0.35">
      <c r="A28" s="6" t="s">
        <v>224</v>
      </c>
      <c r="B28" s="7" t="s">
        <v>225</v>
      </c>
      <c r="C28" s="13">
        <v>3</v>
      </c>
      <c r="D28" s="8">
        <v>5</v>
      </c>
      <c r="E28" s="7"/>
    </row>
    <row r="29" spans="1:5" ht="12" customHeight="1" x14ac:dyDescent="0.35">
      <c r="A29" s="6" t="s">
        <v>298</v>
      </c>
      <c r="B29" s="7" t="s">
        <v>299</v>
      </c>
      <c r="C29" s="13">
        <v>2</v>
      </c>
      <c r="D29" s="8">
        <v>0</v>
      </c>
      <c r="E29" s="7"/>
    </row>
    <row r="30" spans="1:5" ht="12" customHeight="1" x14ac:dyDescent="0.35">
      <c r="A30" s="6" t="s">
        <v>312</v>
      </c>
      <c r="B30" s="7" t="s">
        <v>313</v>
      </c>
      <c r="C30" s="13">
        <v>2</v>
      </c>
      <c r="D30" s="8">
        <v>0</v>
      </c>
      <c r="E30" s="7"/>
    </row>
    <row r="31" spans="1:5" ht="12" customHeight="1" x14ac:dyDescent="0.35">
      <c r="A31" s="6" t="s">
        <v>314</v>
      </c>
      <c r="B31" s="7" t="s">
        <v>315</v>
      </c>
      <c r="C31" s="13">
        <v>2</v>
      </c>
      <c r="D31" s="8">
        <v>0</v>
      </c>
      <c r="E31" s="7"/>
    </row>
    <row r="32" spans="1:5" ht="12" customHeight="1" x14ac:dyDescent="0.35">
      <c r="A32" s="6" t="s">
        <v>248</v>
      </c>
      <c r="B32" s="7" t="s">
        <v>249</v>
      </c>
      <c r="C32" s="13">
        <v>2</v>
      </c>
      <c r="D32" s="8">
        <v>1</v>
      </c>
      <c r="E32" s="7"/>
    </row>
    <row r="33" spans="1:5" ht="12" customHeight="1" x14ac:dyDescent="0.35">
      <c r="A33" s="6" t="s">
        <v>294</v>
      </c>
      <c r="B33" s="7" t="s">
        <v>295</v>
      </c>
      <c r="C33" s="13">
        <v>1</v>
      </c>
      <c r="D33" s="8">
        <v>1</v>
      </c>
      <c r="E33" s="7"/>
    </row>
    <row r="34" spans="1:5" ht="12" customHeight="1" x14ac:dyDescent="0.35">
      <c r="A34" s="6" t="s">
        <v>362</v>
      </c>
      <c r="B34" s="7" t="s">
        <v>363</v>
      </c>
      <c r="C34" s="13">
        <v>1</v>
      </c>
      <c r="D34" s="8">
        <v>0</v>
      </c>
      <c r="E34" s="7"/>
    </row>
    <row r="35" spans="1:5" ht="12" customHeight="1" x14ac:dyDescent="0.35">
      <c r="A35" s="6" t="s">
        <v>278</v>
      </c>
      <c r="B35" s="7" t="s">
        <v>279</v>
      </c>
      <c r="C35" s="13">
        <v>1</v>
      </c>
      <c r="D35" s="8">
        <v>2</v>
      </c>
      <c r="E35" s="7"/>
    </row>
    <row r="36" spans="1:5" ht="12" customHeight="1" x14ac:dyDescent="0.35">
      <c r="A36" s="6" t="s">
        <v>318</v>
      </c>
      <c r="B36" s="7" t="s">
        <v>319</v>
      </c>
      <c r="C36" s="13">
        <v>1</v>
      </c>
      <c r="D36" s="8">
        <v>1</v>
      </c>
      <c r="E36" s="7"/>
    </row>
    <row r="37" spans="1:5" ht="12" customHeight="1" x14ac:dyDescent="0.35">
      <c r="A37" s="6" t="s">
        <v>366</v>
      </c>
      <c r="B37" s="7" t="s">
        <v>367</v>
      </c>
      <c r="C37" s="13">
        <v>1</v>
      </c>
      <c r="D37" s="8">
        <v>0</v>
      </c>
      <c r="E37" s="7"/>
    </row>
    <row r="38" spans="1:5" ht="12" customHeight="1" x14ac:dyDescent="0.35">
      <c r="A38" s="6" t="s">
        <v>296</v>
      </c>
      <c r="B38" s="7" t="s">
        <v>297</v>
      </c>
      <c r="C38" s="13">
        <v>1</v>
      </c>
      <c r="D38" s="8">
        <v>1</v>
      </c>
      <c r="E38" s="7"/>
    </row>
    <row r="39" spans="1:5" ht="12" customHeight="1" x14ac:dyDescent="0.35">
      <c r="A39" s="6" t="s">
        <v>320</v>
      </c>
      <c r="B39" s="7" t="s">
        <v>321</v>
      </c>
      <c r="C39" s="13">
        <v>1</v>
      </c>
      <c r="D39" s="8">
        <v>1</v>
      </c>
      <c r="E39" s="7"/>
    </row>
    <row r="40" spans="1:5" ht="12" customHeight="1" x14ac:dyDescent="0.35">
      <c r="A40" s="6" t="s">
        <v>232</v>
      </c>
      <c r="B40" s="7" t="s">
        <v>233</v>
      </c>
      <c r="C40" s="13">
        <v>1</v>
      </c>
      <c r="D40" s="8">
        <v>4</v>
      </c>
      <c r="E40" s="7"/>
    </row>
    <row r="41" spans="1:5" ht="12" customHeight="1" x14ac:dyDescent="0.35">
      <c r="A41" s="6" t="s">
        <v>374</v>
      </c>
      <c r="B41" s="7" t="s">
        <v>375</v>
      </c>
      <c r="C41" s="13">
        <v>1</v>
      </c>
      <c r="D41" s="8">
        <v>0</v>
      </c>
      <c r="E41" s="7"/>
    </row>
    <row r="42" spans="1:5" ht="12" customHeight="1" x14ac:dyDescent="0.35">
      <c r="A42" s="6" t="s">
        <v>444</v>
      </c>
      <c r="B42" s="7"/>
      <c r="C42" s="13">
        <v>1</v>
      </c>
      <c r="D42" s="8">
        <v>0</v>
      </c>
      <c r="E42" s="7"/>
    </row>
    <row r="43" spans="1:5" ht="12" customHeight="1" x14ac:dyDescent="0.35">
      <c r="A43" s="6" t="s">
        <v>380</v>
      </c>
      <c r="B43" s="7" t="s">
        <v>381</v>
      </c>
      <c r="C43" s="13">
        <v>1</v>
      </c>
      <c r="D43" s="8">
        <v>0</v>
      </c>
      <c r="E43" s="7"/>
    </row>
    <row r="44" spans="1:5" ht="12" customHeight="1" x14ac:dyDescent="0.35">
      <c r="A44" s="6" t="s">
        <v>280</v>
      </c>
      <c r="B44" s="7" t="s">
        <v>281</v>
      </c>
      <c r="C44" s="13">
        <v>1</v>
      </c>
      <c r="D44" s="8">
        <v>2</v>
      </c>
      <c r="E44" s="7"/>
    </row>
    <row r="45" spans="1:5" ht="12" customHeight="1" x14ac:dyDescent="0.35">
      <c r="A45" s="6" t="s">
        <v>276</v>
      </c>
      <c r="B45" s="7" t="s">
        <v>277</v>
      </c>
      <c r="C45" s="13">
        <v>1</v>
      </c>
      <c r="D45" s="8">
        <v>2</v>
      </c>
      <c r="E45" s="7"/>
    </row>
    <row r="46" spans="1:5" ht="12" customHeight="1" x14ac:dyDescent="0.35">
      <c r="A46" s="6" t="s">
        <v>274</v>
      </c>
      <c r="B46" s="7" t="s">
        <v>275</v>
      </c>
      <c r="C46" s="13">
        <v>1</v>
      </c>
      <c r="D46" s="8">
        <v>2</v>
      </c>
      <c r="E46" s="7"/>
    </row>
    <row r="47" spans="1:5" ht="12" customHeight="1" x14ac:dyDescent="0.35">
      <c r="A47" s="6" t="s">
        <v>364</v>
      </c>
      <c r="B47" s="7" t="s">
        <v>365</v>
      </c>
      <c r="C47" s="13">
        <v>1</v>
      </c>
      <c r="D47" s="8">
        <v>0</v>
      </c>
      <c r="E47" s="7"/>
    </row>
    <row r="48" spans="1:5" ht="12" customHeight="1" x14ac:dyDescent="0.35">
      <c r="A48" s="6" t="s">
        <v>316</v>
      </c>
      <c r="B48" s="7" t="s">
        <v>317</v>
      </c>
      <c r="C48" s="13">
        <v>1</v>
      </c>
      <c r="D48" s="8">
        <v>1</v>
      </c>
      <c r="E48" s="7"/>
    </row>
    <row r="49" spans="1:5" ht="12" customHeight="1" x14ac:dyDescent="0.35">
      <c r="A49" s="6" t="s">
        <v>356</v>
      </c>
      <c r="B49" s="7" t="s">
        <v>357</v>
      </c>
      <c r="C49" s="13">
        <v>1</v>
      </c>
      <c r="D49" s="8">
        <v>0</v>
      </c>
      <c r="E49" s="7"/>
    </row>
    <row r="50" spans="1:5" ht="12" customHeight="1" x14ac:dyDescent="0.35">
      <c r="A50" s="6" t="s">
        <v>384</v>
      </c>
      <c r="B50" s="7" t="s">
        <v>385</v>
      </c>
      <c r="C50" s="13">
        <v>1</v>
      </c>
      <c r="D50" s="8">
        <v>0</v>
      </c>
      <c r="E50" s="7"/>
    </row>
    <row r="51" spans="1:5" ht="12" customHeight="1" x14ac:dyDescent="0.35">
      <c r="A51" s="6" t="s">
        <v>370</v>
      </c>
      <c r="B51" s="7" t="s">
        <v>371</v>
      </c>
      <c r="C51" s="13">
        <v>1</v>
      </c>
      <c r="D51" s="8">
        <v>0</v>
      </c>
      <c r="E51" s="7"/>
    </row>
    <row r="52" spans="1:5" ht="12" customHeight="1" x14ac:dyDescent="0.35">
      <c r="A52" s="6" t="s">
        <v>378</v>
      </c>
      <c r="B52" s="7" t="s">
        <v>379</v>
      </c>
      <c r="C52" s="13">
        <v>1</v>
      </c>
      <c r="D52" s="8">
        <v>0</v>
      </c>
      <c r="E52" s="7"/>
    </row>
    <row r="53" spans="1:5" ht="12" customHeight="1" x14ac:dyDescent="0.35">
      <c r="A53" s="6" t="s">
        <v>388</v>
      </c>
      <c r="B53" s="7" t="s">
        <v>389</v>
      </c>
      <c r="C53" s="13">
        <v>1</v>
      </c>
      <c r="D53" s="8">
        <v>0</v>
      </c>
      <c r="E53" s="7"/>
    </row>
    <row r="54" spans="1:5" ht="12" customHeight="1" x14ac:dyDescent="0.35">
      <c r="A54" s="6" t="s">
        <v>282</v>
      </c>
      <c r="B54" s="7" t="s">
        <v>283</v>
      </c>
      <c r="C54" s="13">
        <v>1</v>
      </c>
      <c r="D54" s="8">
        <v>2</v>
      </c>
      <c r="E54" s="7"/>
    </row>
    <row r="55" spans="1:5" ht="12" customHeight="1" x14ac:dyDescent="0.35">
      <c r="A55" s="6" t="s">
        <v>418</v>
      </c>
      <c r="B55" s="7" t="s">
        <v>419</v>
      </c>
      <c r="C55" s="13">
        <v>1</v>
      </c>
      <c r="D55" s="8">
        <v>0</v>
      </c>
      <c r="E55" s="7"/>
    </row>
    <row r="56" spans="1:5" ht="12" customHeight="1" x14ac:dyDescent="0.35">
      <c r="A56" s="6" t="s">
        <v>250</v>
      </c>
      <c r="B56" s="7" t="s">
        <v>251</v>
      </c>
      <c r="C56" s="13">
        <v>1</v>
      </c>
      <c r="D56" s="8">
        <v>1</v>
      </c>
      <c r="E56" s="7"/>
    </row>
    <row r="57" spans="1:5" ht="12" customHeight="1" x14ac:dyDescent="0.35">
      <c r="A57" s="6" t="s">
        <v>322</v>
      </c>
      <c r="B57" s="7" t="s">
        <v>323</v>
      </c>
      <c r="C57" s="13">
        <v>1</v>
      </c>
      <c r="D57" s="8">
        <v>1</v>
      </c>
      <c r="E57" s="7"/>
    </row>
    <row r="58" spans="1:5" ht="12" customHeight="1" x14ac:dyDescent="0.35">
      <c r="A58" s="6" t="s">
        <v>360</v>
      </c>
      <c r="B58" s="7" t="s">
        <v>361</v>
      </c>
      <c r="C58" s="13">
        <v>1</v>
      </c>
      <c r="D58" s="8">
        <v>0</v>
      </c>
      <c r="E58" s="7"/>
    </row>
    <row r="59" spans="1:5" ht="12" customHeight="1" x14ac:dyDescent="0.35">
      <c r="A59" s="6" t="s">
        <v>272</v>
      </c>
      <c r="B59" s="7" t="s">
        <v>273</v>
      </c>
      <c r="C59" s="13">
        <v>1</v>
      </c>
      <c r="D59" s="8">
        <v>2</v>
      </c>
      <c r="E59" s="7"/>
    </row>
    <row r="60" spans="1:5" ht="12" customHeight="1" x14ac:dyDescent="0.35">
      <c r="A60" s="6" t="s">
        <v>368</v>
      </c>
      <c r="B60" s="7" t="s">
        <v>369</v>
      </c>
      <c r="C60" s="13">
        <v>1</v>
      </c>
      <c r="D60" s="8">
        <v>0</v>
      </c>
      <c r="E60" s="7"/>
    </row>
    <row r="61" spans="1:5" ht="12" customHeight="1" x14ac:dyDescent="0.35">
      <c r="A61" s="6" t="s">
        <v>414</v>
      </c>
      <c r="B61" s="7" t="s">
        <v>415</v>
      </c>
      <c r="C61" s="13">
        <v>1</v>
      </c>
      <c r="D61" s="8">
        <v>0</v>
      </c>
      <c r="E61" s="7"/>
    </row>
    <row r="62" spans="1:5" ht="12" customHeight="1" x14ac:dyDescent="0.35">
      <c r="A62" s="6" t="s">
        <v>256</v>
      </c>
      <c r="B62" s="7" t="s">
        <v>257</v>
      </c>
      <c r="C62" s="13">
        <v>1</v>
      </c>
      <c r="D62" s="8">
        <v>2</v>
      </c>
      <c r="E62" s="7"/>
    </row>
    <row r="63" spans="1:5" ht="12" customHeight="1" x14ac:dyDescent="0.35">
      <c r="A63" s="6" t="s">
        <v>376</v>
      </c>
      <c r="B63" s="7" t="s">
        <v>377</v>
      </c>
      <c r="C63" s="13">
        <v>1</v>
      </c>
      <c r="D63" s="8">
        <v>0</v>
      </c>
      <c r="E63" s="7"/>
    </row>
    <row r="64" spans="1:5" ht="12" customHeight="1" x14ac:dyDescent="0.35">
      <c r="A64" s="6" t="s">
        <v>420</v>
      </c>
      <c r="B64" s="7" t="s">
        <v>421</v>
      </c>
      <c r="C64" s="13">
        <v>1</v>
      </c>
      <c r="D64" s="8">
        <v>0</v>
      </c>
      <c r="E64" s="7"/>
    </row>
    <row r="65" spans="1:5" ht="12" customHeight="1" x14ac:dyDescent="0.35">
      <c r="A65" s="6" t="s">
        <v>372</v>
      </c>
      <c r="B65" s="7" t="s">
        <v>373</v>
      </c>
      <c r="C65" s="13">
        <v>1</v>
      </c>
      <c r="D65" s="8">
        <v>0</v>
      </c>
      <c r="E65" s="7"/>
    </row>
    <row r="66" spans="1:5" ht="12" customHeight="1" x14ac:dyDescent="0.35">
      <c r="A66" s="6" t="s">
        <v>416</v>
      </c>
      <c r="B66" s="7" t="s">
        <v>417</v>
      </c>
      <c r="C66" s="13">
        <v>1</v>
      </c>
      <c r="D66" s="8">
        <v>0</v>
      </c>
      <c r="E66" s="7"/>
    </row>
    <row r="67" spans="1:5" ht="12" customHeight="1" x14ac:dyDescent="0.35">
      <c r="A67" s="6" t="s">
        <v>386</v>
      </c>
      <c r="B67" s="7" t="s">
        <v>387</v>
      </c>
      <c r="C67" s="13">
        <v>1</v>
      </c>
      <c r="D67" s="8">
        <v>0</v>
      </c>
      <c r="E67" s="7"/>
    </row>
    <row r="68" spans="1:5" ht="12" customHeight="1" x14ac:dyDescent="0.35">
      <c r="A68" s="6" t="s">
        <v>288</v>
      </c>
      <c r="B68" s="7" t="s">
        <v>289</v>
      </c>
      <c r="C68" s="13">
        <v>1</v>
      </c>
      <c r="D68" s="8">
        <v>1</v>
      </c>
      <c r="E68" s="7"/>
    </row>
    <row r="69" spans="1:5" ht="12" customHeight="1" x14ac:dyDescent="0.35">
      <c r="A69" s="6" t="s">
        <v>324</v>
      </c>
      <c r="B69" s="7" t="s">
        <v>325</v>
      </c>
      <c r="C69" s="13">
        <v>1</v>
      </c>
      <c r="D69" s="8">
        <v>1</v>
      </c>
      <c r="E69" s="7"/>
    </row>
    <row r="70" spans="1:5" ht="12" customHeight="1" x14ac:dyDescent="0.35">
      <c r="A70" s="6" t="s">
        <v>358</v>
      </c>
      <c r="B70" s="7" t="s">
        <v>359</v>
      </c>
      <c r="C70" s="13">
        <v>1</v>
      </c>
      <c r="D70" s="8">
        <v>0</v>
      </c>
      <c r="E70" s="7"/>
    </row>
    <row r="71" spans="1:5" ht="12" customHeight="1" x14ac:dyDescent="0.35">
      <c r="A71" s="6" t="s">
        <v>252</v>
      </c>
      <c r="B71" s="7" t="s">
        <v>253</v>
      </c>
      <c r="C71" s="13">
        <v>0</v>
      </c>
      <c r="D71" s="8">
        <v>3</v>
      </c>
      <c r="E71" s="7"/>
    </row>
    <row r="72" spans="1:5" ht="12" customHeight="1" x14ac:dyDescent="0.35">
      <c r="A72" s="6" t="s">
        <v>430</v>
      </c>
      <c r="B72" s="7" t="s">
        <v>431</v>
      </c>
      <c r="C72" s="13">
        <v>0</v>
      </c>
      <c r="D72" s="8">
        <v>1</v>
      </c>
      <c r="E72" s="7"/>
    </row>
    <row r="73" spans="1:5" ht="12" customHeight="1" x14ac:dyDescent="0.35">
      <c r="A73" s="6" t="s">
        <v>254</v>
      </c>
      <c r="B73" s="7" t="s">
        <v>255</v>
      </c>
      <c r="C73" s="13">
        <v>0</v>
      </c>
      <c r="D73" s="8">
        <v>3</v>
      </c>
      <c r="E73" s="7"/>
    </row>
    <row r="74" spans="1:5" ht="12" customHeight="1" x14ac:dyDescent="0.35">
      <c r="A74" s="6" t="s">
        <v>410</v>
      </c>
      <c r="B74" s="7" t="s">
        <v>411</v>
      </c>
      <c r="C74" s="13">
        <v>0</v>
      </c>
      <c r="D74" s="8">
        <v>1</v>
      </c>
      <c r="E74" s="7"/>
    </row>
    <row r="75" spans="1:5" ht="12" customHeight="1" x14ac:dyDescent="0.35">
      <c r="A75" s="6" t="s">
        <v>428</v>
      </c>
      <c r="B75" s="7" t="s">
        <v>429</v>
      </c>
      <c r="C75" s="13">
        <v>0</v>
      </c>
      <c r="D75" s="8">
        <v>1</v>
      </c>
      <c r="E75" s="7"/>
    </row>
    <row r="76" spans="1:5" ht="12" customHeight="1" x14ac:dyDescent="0.35">
      <c r="A76" s="6" t="s">
        <v>342</v>
      </c>
      <c r="B76" s="7"/>
      <c r="C76" s="13">
        <v>0</v>
      </c>
      <c r="D76" s="8">
        <v>1</v>
      </c>
      <c r="E76" s="7"/>
    </row>
    <row r="77" spans="1:5" ht="12" customHeight="1" x14ac:dyDescent="0.35">
      <c r="A77" s="6" t="s">
        <v>270</v>
      </c>
      <c r="B77" s="7" t="s">
        <v>271</v>
      </c>
      <c r="C77" s="13">
        <v>0</v>
      </c>
      <c r="D77" s="8">
        <v>3</v>
      </c>
      <c r="E77" s="7"/>
    </row>
    <row r="78" spans="1:5" ht="12" customHeight="1" x14ac:dyDescent="0.35">
      <c r="A78" s="6" t="s">
        <v>390</v>
      </c>
      <c r="B78" s="7" t="s">
        <v>391</v>
      </c>
      <c r="C78" s="13">
        <v>0</v>
      </c>
      <c r="D78" s="8">
        <v>1</v>
      </c>
      <c r="E78" s="7"/>
    </row>
    <row r="79" spans="1:5" ht="12" customHeight="1" x14ac:dyDescent="0.35">
      <c r="A79" s="6" t="s">
        <v>392</v>
      </c>
      <c r="B79" s="7" t="s">
        <v>393</v>
      </c>
      <c r="C79" s="13">
        <v>0</v>
      </c>
      <c r="D79" s="8">
        <v>1</v>
      </c>
      <c r="E79" s="7"/>
    </row>
    <row r="80" spans="1:5" ht="12" customHeight="1" x14ac:dyDescent="0.35">
      <c r="A80" s="6" t="s">
        <v>438</v>
      </c>
      <c r="B80" s="7" t="s">
        <v>439</v>
      </c>
      <c r="C80" s="13">
        <v>0</v>
      </c>
      <c r="D80" s="8">
        <v>1</v>
      </c>
      <c r="E80" s="7"/>
    </row>
    <row r="81" spans="1:5" ht="12" customHeight="1" x14ac:dyDescent="0.35">
      <c r="A81" s="6" t="s">
        <v>300</v>
      </c>
      <c r="B81" s="7" t="s">
        <v>301</v>
      </c>
      <c r="C81" s="13">
        <v>0</v>
      </c>
      <c r="D81" s="8">
        <v>1</v>
      </c>
      <c r="E81" s="7"/>
    </row>
    <row r="82" spans="1:5" ht="12" customHeight="1" x14ac:dyDescent="0.35">
      <c r="A82" s="6" t="s">
        <v>266</v>
      </c>
      <c r="B82" s="7" t="s">
        <v>267</v>
      </c>
      <c r="C82" s="13">
        <v>0</v>
      </c>
      <c r="D82" s="8">
        <v>1</v>
      </c>
      <c r="E82" s="7"/>
    </row>
    <row r="83" spans="1:5" ht="12" customHeight="1" x14ac:dyDescent="0.35">
      <c r="A83" s="6" t="s">
        <v>310</v>
      </c>
      <c r="B83" s="7" t="s">
        <v>311</v>
      </c>
      <c r="C83" s="13">
        <v>0</v>
      </c>
      <c r="D83" s="8">
        <v>2</v>
      </c>
      <c r="E83" s="7"/>
    </row>
    <row r="84" spans="1:5" ht="12" customHeight="1" x14ac:dyDescent="0.35">
      <c r="A84" s="6" t="s">
        <v>412</v>
      </c>
      <c r="B84" s="7" t="s">
        <v>413</v>
      </c>
      <c r="C84" s="13">
        <v>0</v>
      </c>
      <c r="D84" s="8">
        <v>1</v>
      </c>
      <c r="E84" s="7"/>
    </row>
    <row r="85" spans="1:5" ht="12" customHeight="1" x14ac:dyDescent="0.35">
      <c r="A85" s="6" t="s">
        <v>424</v>
      </c>
      <c r="B85" s="7" t="s">
        <v>425</v>
      </c>
      <c r="C85" s="13">
        <v>0</v>
      </c>
      <c r="D85" s="8">
        <v>1</v>
      </c>
      <c r="E85" s="7"/>
    </row>
    <row r="86" spans="1:5" ht="12" customHeight="1" x14ac:dyDescent="0.35">
      <c r="A86" s="6" t="s">
        <v>260</v>
      </c>
      <c r="B86" s="7" t="s">
        <v>261</v>
      </c>
      <c r="C86" s="13">
        <v>0</v>
      </c>
      <c r="D86" s="8">
        <v>3</v>
      </c>
      <c r="E86" s="7"/>
    </row>
    <row r="87" spans="1:5" ht="12" customHeight="1" x14ac:dyDescent="0.35">
      <c r="A87" s="6" t="s">
        <v>328</v>
      </c>
      <c r="B87" s="7" t="s">
        <v>329</v>
      </c>
      <c r="C87" s="13">
        <v>0</v>
      </c>
      <c r="D87" s="8">
        <v>2</v>
      </c>
      <c r="E87" s="7"/>
    </row>
    <row r="88" spans="1:5" ht="12" customHeight="1" x14ac:dyDescent="0.35">
      <c r="A88" s="6" t="s">
        <v>308</v>
      </c>
      <c r="B88" s="7" t="s">
        <v>309</v>
      </c>
      <c r="C88" s="13">
        <v>0</v>
      </c>
      <c r="D88" s="8">
        <v>2</v>
      </c>
      <c r="E88" s="7"/>
    </row>
    <row r="89" spans="1:5" ht="12" customHeight="1" x14ac:dyDescent="0.35">
      <c r="A89" s="6" t="s">
        <v>406</v>
      </c>
      <c r="B89" s="7" t="s">
        <v>407</v>
      </c>
      <c r="C89" s="13">
        <v>0</v>
      </c>
      <c r="D89" s="8">
        <v>1</v>
      </c>
      <c r="E89" s="7"/>
    </row>
    <row r="90" spans="1:5" ht="12" customHeight="1" x14ac:dyDescent="0.35">
      <c r="A90" s="6" t="s">
        <v>334</v>
      </c>
      <c r="B90" s="7" t="s">
        <v>335</v>
      </c>
      <c r="C90" s="13">
        <v>0</v>
      </c>
      <c r="D90" s="8">
        <v>2</v>
      </c>
      <c r="E90" s="7"/>
    </row>
    <row r="91" spans="1:5" ht="12" customHeight="1" x14ac:dyDescent="0.35">
      <c r="A91" s="6" t="s">
        <v>426</v>
      </c>
      <c r="B91" s="7" t="s">
        <v>427</v>
      </c>
      <c r="C91" s="13">
        <v>0</v>
      </c>
      <c r="D91" s="8">
        <v>1</v>
      </c>
      <c r="E91" s="7"/>
    </row>
    <row r="92" spans="1:5" ht="12" customHeight="1" x14ac:dyDescent="0.35">
      <c r="A92" s="6" t="s">
        <v>326</v>
      </c>
      <c r="B92" s="7" t="s">
        <v>327</v>
      </c>
      <c r="C92" s="13">
        <v>0</v>
      </c>
      <c r="D92" s="8">
        <v>1</v>
      </c>
      <c r="E92" s="7"/>
    </row>
    <row r="93" spans="1:5" ht="12" customHeight="1" x14ac:dyDescent="0.35">
      <c r="A93" s="6" t="s">
        <v>402</v>
      </c>
      <c r="B93" s="7" t="s">
        <v>403</v>
      </c>
      <c r="C93" s="13">
        <v>0</v>
      </c>
      <c r="D93" s="8">
        <v>1</v>
      </c>
      <c r="E93" s="7"/>
    </row>
    <row r="94" spans="1:5" ht="12" customHeight="1" x14ac:dyDescent="0.35">
      <c r="A94" s="6" t="s">
        <v>436</v>
      </c>
      <c r="B94" s="7" t="s">
        <v>437</v>
      </c>
      <c r="C94" s="13">
        <v>0</v>
      </c>
      <c r="D94" s="8">
        <v>1</v>
      </c>
      <c r="E94" s="7"/>
    </row>
    <row r="95" spans="1:5" ht="12" customHeight="1" x14ac:dyDescent="0.35">
      <c r="A95" s="6" t="s">
        <v>284</v>
      </c>
      <c r="B95" s="7" t="s">
        <v>285</v>
      </c>
      <c r="C95" s="13">
        <v>0</v>
      </c>
      <c r="D95" s="8">
        <v>3</v>
      </c>
      <c r="E95" s="7"/>
    </row>
    <row r="96" spans="1:5" ht="12" customHeight="1" x14ac:dyDescent="0.35">
      <c r="A96" s="6" t="s">
        <v>338</v>
      </c>
      <c r="B96" s="7" t="s">
        <v>339</v>
      </c>
      <c r="C96" s="13">
        <v>0</v>
      </c>
      <c r="D96" s="8">
        <v>2</v>
      </c>
      <c r="E96" s="7"/>
    </row>
    <row r="97" spans="1:5" ht="12" customHeight="1" x14ac:dyDescent="0.35">
      <c r="A97" s="6" t="s">
        <v>340</v>
      </c>
      <c r="B97" s="7" t="s">
        <v>341</v>
      </c>
      <c r="C97" s="13">
        <v>0</v>
      </c>
      <c r="D97" s="8">
        <v>2</v>
      </c>
      <c r="E97" s="7"/>
    </row>
    <row r="98" spans="1:5" ht="12" customHeight="1" x14ac:dyDescent="0.35">
      <c r="A98" s="6" t="s">
        <v>332</v>
      </c>
      <c r="B98" s="7" t="s">
        <v>333</v>
      </c>
      <c r="C98" s="13">
        <v>0</v>
      </c>
      <c r="D98" s="8">
        <v>1</v>
      </c>
      <c r="E98" s="7"/>
    </row>
    <row r="99" spans="1:5" ht="12" customHeight="1" x14ac:dyDescent="0.35">
      <c r="A99" s="6" t="s">
        <v>226</v>
      </c>
      <c r="B99" s="7" t="s">
        <v>227</v>
      </c>
      <c r="C99" s="13">
        <v>0</v>
      </c>
      <c r="D99" s="8">
        <v>4</v>
      </c>
      <c r="E99" s="7"/>
    </row>
    <row r="100" spans="1:5" ht="12" customHeight="1" x14ac:dyDescent="0.35">
      <c r="A100" s="6" t="s">
        <v>400</v>
      </c>
      <c r="B100" s="7" t="s">
        <v>401</v>
      </c>
      <c r="C100" s="13">
        <v>0</v>
      </c>
      <c r="D100" s="8">
        <v>1</v>
      </c>
      <c r="E100" s="7"/>
    </row>
    <row r="101" spans="1:5" ht="12" customHeight="1" x14ac:dyDescent="0.35">
      <c r="A101" s="6" t="s">
        <v>382</v>
      </c>
      <c r="B101" s="7" t="s">
        <v>383</v>
      </c>
      <c r="C101" s="13">
        <v>0</v>
      </c>
      <c r="D101" s="8">
        <v>1</v>
      </c>
      <c r="E101" s="7"/>
    </row>
    <row r="102" spans="1:5" ht="12" customHeight="1" x14ac:dyDescent="0.35">
      <c r="A102" s="6" t="s">
        <v>394</v>
      </c>
      <c r="B102" s="7" t="s">
        <v>395</v>
      </c>
      <c r="C102" s="13">
        <v>0</v>
      </c>
      <c r="D102" s="8">
        <v>1</v>
      </c>
      <c r="E102" s="7"/>
    </row>
    <row r="103" spans="1:5" ht="12" customHeight="1" x14ac:dyDescent="0.35">
      <c r="A103" s="6" t="s">
        <v>408</v>
      </c>
      <c r="B103" s="7" t="s">
        <v>409</v>
      </c>
      <c r="C103" s="13">
        <v>0</v>
      </c>
      <c r="D103" s="8">
        <v>1</v>
      </c>
      <c r="E103" s="7"/>
    </row>
    <row r="104" spans="1:5" ht="12" customHeight="1" x14ac:dyDescent="0.35">
      <c r="A104" s="6" t="s">
        <v>404</v>
      </c>
      <c r="B104" s="7" t="s">
        <v>405</v>
      </c>
      <c r="C104" s="13">
        <v>0</v>
      </c>
      <c r="D104" s="8">
        <v>1</v>
      </c>
      <c r="E104" s="7"/>
    </row>
    <row r="105" spans="1:5" ht="12" customHeight="1" x14ac:dyDescent="0.35">
      <c r="A105" s="6" t="s">
        <v>434</v>
      </c>
      <c r="B105" s="7" t="s">
        <v>435</v>
      </c>
      <c r="C105" s="13">
        <v>0</v>
      </c>
      <c r="D105" s="8">
        <v>1</v>
      </c>
      <c r="E105" s="7"/>
    </row>
    <row r="106" spans="1:5" ht="12" customHeight="1" x14ac:dyDescent="0.35">
      <c r="A106" s="6" t="s">
        <v>422</v>
      </c>
      <c r="B106" s="7" t="s">
        <v>423</v>
      </c>
      <c r="C106" s="13">
        <v>0</v>
      </c>
      <c r="D106" s="8">
        <v>1</v>
      </c>
      <c r="E106" s="7"/>
    </row>
    <row r="107" spans="1:5" ht="12" customHeight="1" x14ac:dyDescent="0.35">
      <c r="A107" s="6" t="s">
        <v>354</v>
      </c>
      <c r="B107" s="7" t="s">
        <v>355</v>
      </c>
      <c r="C107" s="13">
        <v>0</v>
      </c>
      <c r="D107" s="8">
        <v>1</v>
      </c>
      <c r="E107" s="7"/>
    </row>
    <row r="108" spans="1:5" ht="12" customHeight="1" x14ac:dyDescent="0.35">
      <c r="A108" s="6" t="s">
        <v>306</v>
      </c>
      <c r="B108" s="7" t="s">
        <v>307</v>
      </c>
      <c r="C108" s="13">
        <v>0</v>
      </c>
      <c r="D108" s="8">
        <v>1</v>
      </c>
      <c r="E108" s="7"/>
    </row>
    <row r="109" spans="1:5" ht="12" customHeight="1" x14ac:dyDescent="0.35">
      <c r="A109" s="6" t="s">
        <v>432</v>
      </c>
      <c r="B109" s="7" t="s">
        <v>433</v>
      </c>
      <c r="C109" s="13">
        <v>0</v>
      </c>
      <c r="D109" s="8">
        <v>1</v>
      </c>
      <c r="E109" s="7"/>
    </row>
    <row r="110" spans="1:5" ht="12" customHeight="1" x14ac:dyDescent="0.35">
      <c r="A110" s="6" t="s">
        <v>336</v>
      </c>
      <c r="B110" s="7" t="s">
        <v>337</v>
      </c>
      <c r="C110" s="13">
        <v>0</v>
      </c>
      <c r="D110" s="8">
        <v>2</v>
      </c>
      <c r="E110" s="7"/>
    </row>
    <row r="111" spans="1:5" ht="12" customHeight="1" x14ac:dyDescent="0.35">
      <c r="A111" s="6" t="s">
        <v>330</v>
      </c>
      <c r="B111" s="7" t="s">
        <v>331</v>
      </c>
      <c r="C111" s="13">
        <v>0</v>
      </c>
      <c r="D111" s="8">
        <v>1</v>
      </c>
      <c r="E111" s="7"/>
    </row>
    <row r="112" spans="1:5" ht="12" customHeight="1" x14ac:dyDescent="0.35">
      <c r="A112" s="6" t="s">
        <v>302</v>
      </c>
      <c r="B112" s="7" t="s">
        <v>303</v>
      </c>
      <c r="C112" s="13">
        <v>0</v>
      </c>
      <c r="D112" s="8">
        <v>1</v>
      </c>
      <c r="E112" s="7"/>
    </row>
    <row r="113" spans="1:5" ht="12" customHeight="1" x14ac:dyDescent="0.35">
      <c r="A113" s="6" t="s">
        <v>268</v>
      </c>
      <c r="B113" s="7" t="s">
        <v>269</v>
      </c>
      <c r="C113" s="13">
        <v>0</v>
      </c>
      <c r="D113" s="8">
        <v>1</v>
      </c>
      <c r="E113" s="7"/>
    </row>
    <row r="115" spans="1:5" ht="37.25" customHeight="1" x14ac:dyDescent="0.35">
      <c r="A115" s="15" t="s">
        <v>463</v>
      </c>
      <c r="B115" s="16"/>
      <c r="C115" s="16"/>
      <c r="D115" s="16"/>
      <c r="E115" s="16"/>
    </row>
  </sheetData>
  <mergeCells count="1">
    <mergeCell ref="A115:E1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Master_Forms_List</vt:lpstr>
      <vt:lpstr>Element_Repetition</vt:lpstr>
      <vt:lpstr>Frequency_Weighted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eeshakabra1@outlook.com</cp:lastModifiedBy>
  <cp:revision>0</cp:revision>
  <dcterms:created xsi:type="dcterms:W3CDTF">2026-07-28T14:21:35Z</dcterms:created>
  <dcterms:modified xsi:type="dcterms:W3CDTF">2026-08-03T11:21:18Z</dcterms:modified>
  <dc:language>en-US</dc:language>
</cp:coreProperties>
</file>